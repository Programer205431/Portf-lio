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defaultThemeVersion="166925"/>
  <mc:AlternateContent xmlns:mc="http://schemas.openxmlformats.org/markup-compatibility/2006">
    <mc:Choice Requires="x15">
      <x15ac:absPath xmlns:x15ac="http://schemas.microsoft.com/office/spreadsheetml/2010/11/ac" url="C:\Users\kaike\OneDrive\Área de Trabalho\Portifólio\excel\"/>
    </mc:Choice>
  </mc:AlternateContent>
  <xr:revisionPtr revIDLastSave="0" documentId="13_ncr:1_{FD5EEE23-5FE3-45C0-BA48-93E009CADC16}" xr6:coauthVersionLast="47" xr6:coauthVersionMax="47" xr10:uidLastSave="{00000000-0000-0000-0000-000000000000}"/>
  <bookViews>
    <workbookView xWindow="-120" yWindow="-120" windowWidth="29040" windowHeight="16440" activeTab="3" xr2:uid="{C0319B00-B55A-42B4-AB0F-D0B806A49AE9}"/>
  </bookViews>
  <sheets>
    <sheet name="SE" sheetId="3" r:id="rId1"/>
    <sheet name="VALIDAÇÃO DE DADOS E SEERRO" sheetId="11" r:id="rId2"/>
    <sheet name="MÉDIA PONDERADA" sheetId="4" r:id="rId3"/>
    <sheet name="MACRO" sheetId="8" r:id="rId4"/>
    <sheet name="IMC" sheetId="6" r:id="rId5"/>
    <sheet name="ARREDONDAR" sheetId="5" r:id="rId6"/>
    <sheet name="CONT.SE" sheetId="7" r:id="rId7"/>
    <sheet name="PROCV" sheetId="9" r:id="rId8"/>
    <sheet name="PROCH" sheetId="10" r:id="rId9"/>
    <sheet name="FÓRMULAS" sheetId="12"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 i="11" l="1"/>
  <c r="K5" i="11"/>
  <c r="K6" i="11"/>
  <c r="K7" i="11"/>
  <c r="K8" i="11"/>
  <c r="K9" i="11"/>
  <c r="K10" i="11"/>
  <c r="K11" i="11"/>
  <c r="K12" i="11"/>
  <c r="G31" i="3"/>
  <c r="H4" i="12"/>
  <c r="H7" i="12"/>
  <c r="H16" i="12"/>
  <c r="H27" i="12"/>
  <c r="C16" i="5"/>
  <c r="G28" i="10"/>
  <c r="C12" i="10"/>
  <c r="M26" i="10"/>
  <c r="G3" i="11"/>
  <c r="H3" i="11"/>
  <c r="I3" i="11"/>
  <c r="K3" i="11" s="1"/>
  <c r="G24" i="10" l="1"/>
  <c r="H24" i="10"/>
  <c r="J24" i="10"/>
  <c r="K24" i="10" s="1"/>
  <c r="M24" i="10"/>
  <c r="N24" i="10"/>
  <c r="G25" i="10"/>
  <c r="H25" i="10"/>
  <c r="J25" i="10"/>
  <c r="K25" i="10" s="1"/>
  <c r="M25" i="10"/>
  <c r="N25" i="10"/>
  <c r="G26" i="10"/>
  <c r="H26" i="10"/>
  <c r="J26" i="10"/>
  <c r="K26" i="10" s="1"/>
  <c r="N26" i="10"/>
  <c r="G27" i="10"/>
  <c r="H27" i="10"/>
  <c r="J27" i="10"/>
  <c r="K27" i="10" s="1"/>
  <c r="M27" i="10"/>
  <c r="N27" i="10"/>
  <c r="H28" i="10"/>
  <c r="J28" i="10"/>
  <c r="K28" i="10" s="1"/>
  <c r="M28" i="10"/>
  <c r="N28" i="10"/>
  <c r="G29" i="10"/>
  <c r="H29" i="10"/>
  <c r="J29" i="10"/>
  <c r="K29" i="10" s="1"/>
  <c r="M29" i="10"/>
  <c r="N29" i="10"/>
  <c r="G30" i="10"/>
  <c r="H30" i="10"/>
  <c r="J30" i="10"/>
  <c r="K30" i="10"/>
  <c r="M30" i="10"/>
  <c r="N30" i="10"/>
  <c r="G31" i="10"/>
  <c r="H31" i="10"/>
  <c r="J31" i="10"/>
  <c r="K31" i="10" s="1"/>
  <c r="M31" i="10"/>
  <c r="N31" i="10"/>
  <c r="G32" i="10"/>
  <c r="H32" i="10"/>
  <c r="J32" i="10"/>
  <c r="K32" i="10"/>
  <c r="M32" i="10"/>
  <c r="N32" i="10"/>
  <c r="G33" i="10"/>
  <c r="H33" i="10"/>
  <c r="J33" i="10"/>
  <c r="K33" i="10" s="1"/>
  <c r="M33" i="10"/>
  <c r="N33" i="10"/>
  <c r="G34" i="10"/>
  <c r="H34" i="10"/>
  <c r="J34" i="10"/>
  <c r="K34" i="10" s="1"/>
  <c r="M34" i="10"/>
  <c r="N34" i="10"/>
  <c r="C9" i="10"/>
  <c r="D9" i="10"/>
  <c r="E9" i="10"/>
  <c r="F9" i="10"/>
  <c r="C13" i="10"/>
  <c r="C14" i="10"/>
  <c r="C15" i="10"/>
  <c r="C16" i="10"/>
  <c r="C17" i="10"/>
  <c r="C10" i="9"/>
  <c r="D10" i="9" s="1"/>
  <c r="C11" i="9"/>
  <c r="D11" i="9" s="1"/>
  <c r="C12" i="9"/>
  <c r="D12" i="9" s="1"/>
  <c r="C13" i="9"/>
  <c r="D13" i="9" s="1"/>
  <c r="C14" i="9"/>
  <c r="D14" i="9" s="1"/>
  <c r="C15" i="9"/>
  <c r="D15" i="9" s="1"/>
  <c r="C16" i="9"/>
  <c r="D16" i="9" s="1"/>
  <c r="C17" i="9"/>
  <c r="D17" i="9" s="1"/>
  <c r="C3" i="9"/>
  <c r="C4" i="9"/>
  <c r="C5" i="9"/>
  <c r="C6" i="9"/>
  <c r="B20" i="7"/>
  <c r="B19" i="7"/>
  <c r="B18" i="7"/>
  <c r="B16" i="7"/>
  <c r="B15" i="7"/>
  <c r="D3" i="6"/>
  <c r="D4" i="6"/>
  <c r="D5" i="6"/>
  <c r="D6" i="6"/>
  <c r="D7" i="6"/>
  <c r="D2" i="6"/>
  <c r="C18" i="5"/>
  <c r="C12" i="5"/>
  <c r="C14" i="5" s="1"/>
  <c r="D29" i="4"/>
  <c r="E15" i="4"/>
  <c r="E13" i="4"/>
  <c r="B7" i="4"/>
  <c r="F27" i="3"/>
  <c r="G27" i="3" s="1"/>
  <c r="F28" i="3"/>
  <c r="G28" i="3" s="1"/>
  <c r="F29" i="3"/>
  <c r="G29" i="3" s="1"/>
  <c r="F30" i="3"/>
  <c r="G30" i="3"/>
  <c r="F31" i="3"/>
  <c r="F32" i="3"/>
  <c r="G32" i="3"/>
  <c r="B33" i="3"/>
  <c r="F33" i="3" s="1"/>
  <c r="C33" i="3"/>
  <c r="E33" i="3"/>
  <c r="F15" i="3"/>
  <c r="D6" i="3"/>
  <c r="D5" i="3"/>
  <c r="D4" i="3"/>
  <c r="D3" i="3"/>
  <c r="D2" i="3"/>
  <c r="C18" i="10" l="1"/>
  <c r="D19" i="9"/>
  <c r="C19" i="9" s="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0">
    <bk>
      <extLst>
        <ext uri="{3e2802c4-a4d2-4d8b-9148-e3be6c30e623}">
          <xlrd:rvb i="0"/>
        </ext>
      </extLst>
    </bk>
    <bk>
      <extLst>
        <ext uri="{3e2802c4-a4d2-4d8b-9148-e3be6c30e623}">
          <xlrd:rvb i="12"/>
        </ext>
      </extLst>
    </bk>
    <bk>
      <extLst>
        <ext uri="{3e2802c4-a4d2-4d8b-9148-e3be6c30e623}">
          <xlrd:rvb i="22"/>
        </ext>
      </extLst>
    </bk>
    <bk>
      <extLst>
        <ext uri="{3e2802c4-a4d2-4d8b-9148-e3be6c30e623}">
          <xlrd:rvb i="32"/>
        </ext>
      </extLst>
    </bk>
    <bk>
      <extLst>
        <ext uri="{3e2802c4-a4d2-4d8b-9148-e3be6c30e623}">
          <xlrd:rvb i="41"/>
        </ext>
      </extLst>
    </bk>
    <bk>
      <extLst>
        <ext uri="{3e2802c4-a4d2-4d8b-9148-e3be6c30e623}">
          <xlrd:rvb i="49"/>
        </ext>
      </extLst>
    </bk>
    <bk>
      <extLst>
        <ext uri="{3e2802c4-a4d2-4d8b-9148-e3be6c30e623}">
          <xlrd:rvb i="57"/>
        </ext>
      </extLst>
    </bk>
    <bk>
      <extLst>
        <ext uri="{3e2802c4-a4d2-4d8b-9148-e3be6c30e623}">
          <xlrd:rvb i="64"/>
        </ext>
      </extLst>
    </bk>
    <bk>
      <extLst>
        <ext uri="{3e2802c4-a4d2-4d8b-9148-e3be6c30e623}">
          <xlrd:rvb i="74"/>
        </ext>
      </extLst>
    </bk>
    <bk>
      <extLst>
        <ext uri="{3e2802c4-a4d2-4d8b-9148-e3be6c30e623}">
          <xlrd:rvb i="84"/>
        </ext>
      </extLst>
    </bk>
  </futureMetadata>
  <valueMetadata count="10">
    <bk>
      <rc t="1" v="0"/>
    </bk>
    <bk>
      <rc t="1" v="1"/>
    </bk>
    <bk>
      <rc t="1" v="2"/>
    </bk>
    <bk>
      <rc t="1" v="3"/>
    </bk>
    <bk>
      <rc t="1" v="4"/>
    </bk>
    <bk>
      <rc t="1" v="5"/>
    </bk>
    <bk>
      <rc t="1" v="6"/>
    </bk>
    <bk>
      <rc t="1" v="7"/>
    </bk>
    <bk>
      <rc t="1" v="8"/>
    </bk>
    <bk>
      <rc t="1" v="9"/>
    </bk>
  </valueMetadata>
</metadata>
</file>

<file path=xl/sharedStrings.xml><?xml version="1.0" encoding="utf-8"?>
<sst xmlns="http://schemas.openxmlformats.org/spreadsheetml/2006/main" count="1193" uniqueCount="1038">
  <si>
    <t xml:space="preserve">PRODUÇÃO </t>
  </si>
  <si>
    <t>País</t>
  </si>
  <si>
    <t>Qtde</t>
  </si>
  <si>
    <t>Resultado</t>
  </si>
  <si>
    <t>Média</t>
  </si>
  <si>
    <t>Brasil</t>
  </si>
  <si>
    <t>Venezuela</t>
  </si>
  <si>
    <t>Estados Unidos</t>
  </si>
  <si>
    <t>China</t>
  </si>
  <si>
    <t>Alemanha</t>
  </si>
  <si>
    <t>Itália</t>
  </si>
  <si>
    <t>Cuba</t>
  </si>
  <si>
    <t>Uruguai</t>
  </si>
  <si>
    <t>DISCIPLINA</t>
  </si>
  <si>
    <t xml:space="preserve">1º </t>
  </si>
  <si>
    <t xml:space="preserve">2º </t>
  </si>
  <si>
    <t xml:space="preserve">3º </t>
  </si>
  <si>
    <t xml:space="preserve">4º </t>
  </si>
  <si>
    <t>MÉDIA</t>
  </si>
  <si>
    <t>STATUS</t>
  </si>
  <si>
    <t>Matemática</t>
  </si>
  <si>
    <t>Física</t>
  </si>
  <si>
    <t>Química</t>
  </si>
  <si>
    <t>Geografia</t>
  </si>
  <si>
    <t>Portugês</t>
  </si>
  <si>
    <t>História</t>
  </si>
  <si>
    <t>Aprovado</t>
  </si>
  <si>
    <t>7,0 - 10,0</t>
  </si>
  <si>
    <t>Recuperação</t>
  </si>
  <si>
    <t>5,0 - 6,9</t>
  </si>
  <si>
    <t>Reprovado</t>
  </si>
  <si>
    <t>0,0 - 4,9</t>
  </si>
  <si>
    <t>Produto</t>
  </si>
  <si>
    <t>Preço Unitário</t>
  </si>
  <si>
    <t>Desconto</t>
  </si>
  <si>
    <t>Valor do Desconto</t>
  </si>
  <si>
    <t>Camisa</t>
  </si>
  <si>
    <t>Calça</t>
  </si>
  <si>
    <t>Meia</t>
  </si>
  <si>
    <t>Gravata</t>
  </si>
  <si>
    <t>Terno</t>
  </si>
  <si>
    <t>Condições para Desconto</t>
  </si>
  <si>
    <t>Qtde &gt;</t>
  </si>
  <si>
    <t>MÉDIA PONDERADA =</t>
  </si>
  <si>
    <t>4º Bimestre</t>
  </si>
  <si>
    <t>3º Bimestre</t>
  </si>
  <si>
    <t>2º Bimestre</t>
  </si>
  <si>
    <t>1º Bimestre</t>
  </si>
  <si>
    <t>PESO</t>
  </si>
  <si>
    <t>NOTA</t>
  </si>
  <si>
    <t>PERÍODO</t>
  </si>
  <si>
    <t>Nota Média Ponderada:</t>
  </si>
  <si>
    <t>Total de Candidatos:</t>
  </si>
  <si>
    <t>Qtd Candidatos</t>
  </si>
  <si>
    <t>Nota</t>
  </si>
  <si>
    <t>Resultado Final</t>
  </si>
  <si>
    <t>Obs: QUER SABER O PREÇO MÉDIO DESSES PRODUTOS</t>
  </si>
  <si>
    <t>Divide o custo total de todos os três pedidos pelo número total de unidades pedidas.</t>
  </si>
  <si>
    <t>Fórmula</t>
  </si>
  <si>
    <t>Número de unidades compradas</t>
  </si>
  <si>
    <t>Preço por unidade</t>
  </si>
  <si>
    <t>MÉDIA PONDERADA</t>
  </si>
  <si>
    <t>Controle de Gastos - Combustível</t>
  </si>
  <si>
    <t>Data</t>
  </si>
  <si>
    <t>Litros</t>
  </si>
  <si>
    <t>Preço / Litro</t>
  </si>
  <si>
    <t xml:space="preserve">TOTAL </t>
  </si>
  <si>
    <t>Arredondamento:</t>
  </si>
  <si>
    <t>Arredond.p/Cima:</t>
  </si>
  <si>
    <t>Arredond.p/Baixo:</t>
  </si>
  <si>
    <t>Peso</t>
  </si>
  <si>
    <t>Altura</t>
  </si>
  <si>
    <t>IMC</t>
  </si>
  <si>
    <t>Ana</t>
  </si>
  <si>
    <t>Paulo</t>
  </si>
  <si>
    <t>Chris</t>
  </si>
  <si>
    <t>Thales</t>
  </si>
  <si>
    <t>Andressa</t>
  </si>
  <si>
    <t>EU</t>
  </si>
  <si>
    <t>CAPITAL</t>
  </si>
  <si>
    <t>IDIOMA</t>
  </si>
  <si>
    <t>POPULAÇÃO</t>
  </si>
  <si>
    <t>Assunção</t>
  </si>
  <si>
    <t>espanhol</t>
  </si>
  <si>
    <t>Brasília</t>
  </si>
  <si>
    <t>português</t>
  </si>
  <si>
    <t>Caracas</t>
  </si>
  <si>
    <t>Cidade do México</t>
  </si>
  <si>
    <t>Havana</t>
  </si>
  <si>
    <t>Lisboa</t>
  </si>
  <si>
    <t>Lima</t>
  </si>
  <si>
    <t>Maputo</t>
  </si>
  <si>
    <t>São Tomé e Príncipe</t>
  </si>
  <si>
    <t>Quito</t>
  </si>
  <si>
    <t>Santiago</t>
  </si>
  <si>
    <t>total</t>
  </si>
  <si>
    <t>Capitais sem informação de população</t>
  </si>
  <si>
    <t>Capitais com informação de população</t>
  </si>
  <si>
    <t>Total de Capitais</t>
  </si>
  <si>
    <t xml:space="preserve"> 17.60</t>
  </si>
  <si>
    <t xml:space="preserve"> 2.60</t>
  </si>
  <si>
    <t xml:space="preserve"> Silmara Lopes Beira</t>
  </si>
  <si>
    <t xml:space="preserve"> 11.40</t>
  </si>
  <si>
    <t xml:space="preserve"> 0.40</t>
  </si>
  <si>
    <t xml:space="preserve"> Luzia Aparecida Marques</t>
  </si>
  <si>
    <t xml:space="preserve"> 9.00</t>
  </si>
  <si>
    <t xml:space="preserve"> 0.00</t>
  </si>
  <si>
    <t xml:space="preserve"> Raquel Soares da Silva</t>
  </si>
  <si>
    <t xml:space="preserve"> 13.90</t>
  </si>
  <si>
    <t xml:space="preserve"> 1.90</t>
  </si>
  <si>
    <t xml:space="preserve"> Claudinei Martins Romao</t>
  </si>
  <si>
    <t xml:space="preserve"> 19.90</t>
  </si>
  <si>
    <t xml:space="preserve"> 9.90</t>
  </si>
  <si>
    <t xml:space="preserve"> Simone Aparecida da Costa Ribeiro</t>
  </si>
  <si>
    <t xml:space="preserve"> 23.90</t>
  </si>
  <si>
    <t xml:space="preserve"> Luciana Cirino de Jesus</t>
  </si>
  <si>
    <t xml:space="preserve"> 9.40</t>
  </si>
  <si>
    <t xml:space="preserve"> Alaise Canale</t>
  </si>
  <si>
    <t xml:space="preserve"> 22.30</t>
  </si>
  <si>
    <t xml:space="preserve"> 9.30</t>
  </si>
  <si>
    <t xml:space="preserve"> Leonice Aparecida Machado</t>
  </si>
  <si>
    <t xml:space="preserve"> 14.40</t>
  </si>
  <si>
    <t xml:space="preserve"> Fernanda Petruf Ribeiro</t>
  </si>
  <si>
    <t xml:space="preserve"> 15.40</t>
  </si>
  <si>
    <t xml:space="preserve"> Emile ne Maria Monteiro</t>
  </si>
  <si>
    <t xml:space="preserve"> 13.60</t>
  </si>
  <si>
    <t xml:space="preserve"> 0.60</t>
  </si>
  <si>
    <t xml:space="preserve"> Amelia Mussiato Borgatto</t>
  </si>
  <si>
    <t xml:space="preserve"> 25.50</t>
  </si>
  <si>
    <t xml:space="preserve"> 11.50</t>
  </si>
  <si>
    <t xml:space="preserve"> Reinildis Portelinha Gasparetto</t>
  </si>
  <si>
    <t xml:space="preserve"> 7.60</t>
  </si>
  <si>
    <t xml:space="preserve"> Meibel da Rosa Dantas</t>
  </si>
  <si>
    <t xml:space="preserve"> 12.60</t>
  </si>
  <si>
    <t xml:space="preserve"> Melissa Giuliana de Andrade Prado</t>
  </si>
  <si>
    <t xml:space="preserve"> 23.50</t>
  </si>
  <si>
    <t xml:space="preserve"> 12.50</t>
  </si>
  <si>
    <t xml:space="preserve"> Guiomar Ribeiro Guimaraes</t>
  </si>
  <si>
    <t xml:space="preserve"> 21.70</t>
  </si>
  <si>
    <t xml:space="preserve"> 7.70</t>
  </si>
  <si>
    <t xml:space="preserve"> Rosana Cavalheiro Ortiz</t>
  </si>
  <si>
    <t xml:space="preserve"> Daniele Fernanda Costa</t>
  </si>
  <si>
    <t xml:space="preserve"> 26.90</t>
  </si>
  <si>
    <t xml:space="preserve"> 12.90</t>
  </si>
  <si>
    <t xml:space="preserve"> Helio Edmur da Silva</t>
  </si>
  <si>
    <t xml:space="preserve"> 16.50</t>
  </si>
  <si>
    <t xml:space="preserve"> 5.50</t>
  </si>
  <si>
    <t xml:space="preserve"> Cleudes Maria Colla</t>
  </si>
  <si>
    <t xml:space="preserve"> 18.60</t>
  </si>
  <si>
    <t xml:space="preserve"> Elen Angelica da Silva</t>
  </si>
  <si>
    <t xml:space="preserve"> 12.80</t>
  </si>
  <si>
    <t xml:space="preserve"> 1.80</t>
  </si>
  <si>
    <t xml:space="preserve"> Josimara Taborda</t>
  </si>
  <si>
    <t xml:space="preserve"> 13.00</t>
  </si>
  <si>
    <t xml:space="preserve"> Marcal Honorio dos Reis</t>
  </si>
  <si>
    <t xml:space="preserve"> 11.90</t>
  </si>
  <si>
    <t xml:space="preserve"> Cleudineia Aparecida Pereira</t>
  </si>
  <si>
    <t xml:space="preserve"> 11.20</t>
  </si>
  <si>
    <t xml:space="preserve"> 0.20</t>
  </si>
  <si>
    <t xml:space="preserve"> Michelle Serediuk Silva</t>
  </si>
  <si>
    <t xml:space="preserve"> 12.20</t>
  </si>
  <si>
    <t xml:space="preserve"> Lilianne Caroline da Silva</t>
  </si>
  <si>
    <t xml:space="preserve"> 15.30</t>
  </si>
  <si>
    <t xml:space="preserve"> 3.30</t>
  </si>
  <si>
    <t xml:space="preserve"> Iolanda Leite da Silva</t>
  </si>
  <si>
    <t xml:space="preserve"> Michelle Josane Bengozi</t>
  </si>
  <si>
    <t xml:space="preserve"> 13.80</t>
  </si>
  <si>
    <t xml:space="preserve"> Siomara Aparecida do Carmo</t>
  </si>
  <si>
    <t xml:space="preserve"> 3.90</t>
  </si>
  <si>
    <t xml:space="preserve"> Janete Maria do Couto Serra</t>
  </si>
  <si>
    <t xml:space="preserve"> 11.60</t>
  </si>
  <si>
    <t xml:space="preserve"> Patricia Elaine Pires</t>
  </si>
  <si>
    <t xml:space="preserve"> 16.20</t>
  </si>
  <si>
    <t xml:space="preserve"> 2.20</t>
  </si>
  <si>
    <t xml:space="preserve"> Luciane David Santana</t>
  </si>
  <si>
    <t xml:space="preserve"> 12.00</t>
  </si>
  <si>
    <t xml:space="preserve"> Jucimara de Morais</t>
  </si>
  <si>
    <t xml:space="preserve"> 15.60</t>
  </si>
  <si>
    <t xml:space="preserve"> Eliane Zanin de Abreu</t>
  </si>
  <si>
    <t xml:space="preserve"> 3.50</t>
  </si>
  <si>
    <t xml:space="preserve"> Solange Aparecida Husczes</t>
  </si>
  <si>
    <t xml:space="preserve"> 10.40</t>
  </si>
  <si>
    <t xml:space="preserve"> Janaina Cordeiro Zanetti</t>
  </si>
  <si>
    <t xml:space="preserve"> 15.90</t>
  </si>
  <si>
    <t xml:space="preserve"> 5.90</t>
  </si>
  <si>
    <t xml:space="preserve"> Sandra Andreia Mincachi</t>
  </si>
  <si>
    <t xml:space="preserve"> 1.40</t>
  </si>
  <si>
    <t xml:space="preserve"> Ana Mairene da Silva</t>
  </si>
  <si>
    <t xml:space="preserve"> 19.40</t>
  </si>
  <si>
    <t xml:space="preserve"> 7.40</t>
  </si>
  <si>
    <t xml:space="preserve"> Celia Luiza Fabricio Carolino</t>
  </si>
  <si>
    <t xml:space="preserve"> Paula Adriana Caceres</t>
  </si>
  <si>
    <t xml:space="preserve"> 15.00</t>
  </si>
  <si>
    <t xml:space="preserve"> 1.00</t>
  </si>
  <si>
    <t xml:space="preserve"> Angela Batista</t>
  </si>
  <si>
    <t xml:space="preserve"> 12.40</t>
  </si>
  <si>
    <t xml:space="preserve"> Renata Cristian Teixeira</t>
  </si>
  <si>
    <t xml:space="preserve"> Maria Ines Fenato</t>
  </si>
  <si>
    <t xml:space="preserve"> 17.50</t>
  </si>
  <si>
    <t xml:space="preserve"> 7.50</t>
  </si>
  <si>
    <t xml:space="preserve"> Neide Araujo dos Santos</t>
  </si>
  <si>
    <t xml:space="preserve"> 19.10</t>
  </si>
  <si>
    <t xml:space="preserve"> 8.10</t>
  </si>
  <si>
    <t xml:space="preserve"> Mirna Sandra de Santis</t>
  </si>
  <si>
    <t xml:space="preserve"> Marcia Oliveira de Britto</t>
  </si>
  <si>
    <t xml:space="preserve"> 27.70</t>
  </si>
  <si>
    <t xml:space="preserve"> 10.70</t>
  </si>
  <si>
    <t xml:space="preserve"> Sandra Regina Rocon</t>
  </si>
  <si>
    <t xml:space="preserve"> Elza Serra</t>
  </si>
  <si>
    <t xml:space="preserve"> 13.40</t>
  </si>
  <si>
    <t xml:space="preserve"> 2.40</t>
  </si>
  <si>
    <t xml:space="preserve"> Sandra Aparecida Monteiro</t>
  </si>
  <si>
    <t xml:space="preserve"> 24.90</t>
  </si>
  <si>
    <t xml:space="preserve"> 8.90</t>
  </si>
  <si>
    <t xml:space="preserve"> Cleonice da Silva</t>
  </si>
  <si>
    <t xml:space="preserve"> Herica Monallize Chonski de Proenca</t>
  </si>
  <si>
    <t xml:space="preserve"> 11.00</t>
  </si>
  <si>
    <t xml:space="preserve"> Susimere do Rocio Simoes</t>
  </si>
  <si>
    <t>Cidade</t>
  </si>
  <si>
    <t>Classificação</t>
  </si>
  <si>
    <t>Nota Prova</t>
  </si>
  <si>
    <t>Nota Título</t>
  </si>
  <si>
    <t>Nome</t>
  </si>
  <si>
    <t>Inscrição</t>
  </si>
  <si>
    <t>CRIAÇÃO DE MACROS</t>
  </si>
  <si>
    <t>Monitor LCD 32</t>
  </si>
  <si>
    <t>HD 3 TB</t>
  </si>
  <si>
    <t>Teclado</t>
  </si>
  <si>
    <t>Mouse</t>
  </si>
  <si>
    <t>Faixa de Lucro</t>
  </si>
  <si>
    <t>Lucro</t>
  </si>
  <si>
    <t>Valor de Compra</t>
  </si>
  <si>
    <t>Total</t>
  </si>
  <si>
    <t>Fonte ATX 400W</t>
  </si>
  <si>
    <t>Gabinete</t>
  </si>
  <si>
    <t>Proc I3</t>
  </si>
  <si>
    <t>Proc I7</t>
  </si>
  <si>
    <t>Reajuste</t>
  </si>
  <si>
    <t>Monitor LCD 15</t>
  </si>
  <si>
    <t>HD 120 GB</t>
  </si>
  <si>
    <t>Valor do Reajuste</t>
  </si>
  <si>
    <t>% do Reajuste</t>
  </si>
  <si>
    <t>Valor</t>
  </si>
  <si>
    <t>Produtos</t>
  </si>
  <si>
    <t>TOTAL</t>
  </si>
  <si>
    <t>Jun</t>
  </si>
  <si>
    <t>Mai</t>
  </si>
  <si>
    <t>Abr</t>
  </si>
  <si>
    <t>Mar</t>
  </si>
  <si>
    <t>Fev</t>
  </si>
  <si>
    <t>Jan</t>
  </si>
  <si>
    <t>Marabraz</t>
  </si>
  <si>
    <t>Lojas Americanas</t>
  </si>
  <si>
    <t>Ponto Frio</t>
  </si>
  <si>
    <t>Casas Bahia</t>
  </si>
  <si>
    <t>Empresa</t>
  </si>
  <si>
    <t>Quantidade de vendas no 1° Semestre</t>
  </si>
  <si>
    <t>Guarujá</t>
  </si>
  <si>
    <t>São Vicente</t>
  </si>
  <si>
    <t>Santos</t>
  </si>
  <si>
    <t>CIDADE</t>
  </si>
  <si>
    <t>Fátima</t>
  </si>
  <si>
    <t>Vinicius</t>
  </si>
  <si>
    <t>Pedro</t>
  </si>
  <si>
    <t>NOME</t>
  </si>
  <si>
    <t>CÓDIGO</t>
  </si>
  <si>
    <t>VENDEDORES</t>
  </si>
  <si>
    <t>Loja 1</t>
  </si>
  <si>
    <t>Tinta</t>
  </si>
  <si>
    <t>Loja 3</t>
  </si>
  <si>
    <t>Cola</t>
  </si>
  <si>
    <t>Chuveiro</t>
  </si>
  <si>
    <t>Loja 2</t>
  </si>
  <si>
    <t>Torneira</t>
  </si>
  <si>
    <t>Carrinho</t>
  </si>
  <si>
    <t>Parafuso</t>
  </si>
  <si>
    <t>Ferro</t>
  </si>
  <si>
    <t>Areia</t>
  </si>
  <si>
    <t>Ponteiro</t>
  </si>
  <si>
    <t>Alicate</t>
  </si>
  <si>
    <t>Cimento</t>
  </si>
  <si>
    <t>VALOR</t>
  </si>
  <si>
    <t>QTD</t>
  </si>
  <si>
    <t>LOJA</t>
  </si>
  <si>
    <t>DESCRIÇÃO</t>
  </si>
  <si>
    <t>ITEM</t>
  </si>
  <si>
    <t>VENDAS</t>
  </si>
  <si>
    <t>PRODUTOS</t>
  </si>
  <si>
    <t>un</t>
  </si>
  <si>
    <t>Calculadora</t>
  </si>
  <si>
    <t>Câmera</t>
  </si>
  <si>
    <t>Carteira</t>
  </si>
  <si>
    <t>Acessórios</t>
  </si>
  <si>
    <t>hr</t>
  </si>
  <si>
    <t>Consultoria</t>
  </si>
  <si>
    <t>Microfone</t>
  </si>
  <si>
    <t>Notebook</t>
  </si>
  <si>
    <t>Celular</t>
  </si>
  <si>
    <t>Relógio</t>
  </si>
  <si>
    <t>QUANTIDADE</t>
  </si>
  <si>
    <t>VALOR UNIT.</t>
  </si>
  <si>
    <t>UNIDADE</t>
  </si>
  <si>
    <t>PRODUTO</t>
  </si>
  <si>
    <t>CATÁLOGO</t>
  </si>
  <si>
    <t>Lista de fórmulas Excel traduzidas de Inglês para Português – Ordem Inglês</t>
  </si>
  <si>
    <t>Inglês</t>
  </si>
  <si>
    <t>Português</t>
  </si>
  <si>
    <t>Descrição</t>
  </si>
  <si>
    <t>ABS</t>
  </si>
  <si>
    <t>Retorna o valor absoluto de um número</t>
  </si>
  <si>
    <t>ACOS</t>
  </si>
  <si>
    <t>Retorna o arco cosseno de um número</t>
  </si>
  <si>
    <t>ACOSH</t>
  </si>
  <si>
    <t>Retorna o cosseno hiperbólico inverso de um número</t>
  </si>
  <si>
    <t>ADDRESS</t>
  </si>
  <si>
    <t>ENDEREÇO</t>
  </si>
  <si>
    <t>Retorna uma referência como texto para uma única célula em uma planilha</t>
  </si>
  <si>
    <t>AND</t>
  </si>
  <si>
    <t>E</t>
  </si>
  <si>
    <t>Retorna VERDADEIRO se todos os argumentos forem VERDADEIRO</t>
  </si>
  <si>
    <t>ASIN</t>
  </si>
  <si>
    <t>ASEN</t>
  </si>
  <si>
    <t>Retorna o arco seno de um número</t>
  </si>
  <si>
    <t>ATAN</t>
  </si>
  <si>
    <t>Retorna o arco tangente de um número</t>
  </si>
  <si>
    <t>ATAN2</t>
  </si>
  <si>
    <t>Retorna o arco tangente das coordenadas x e y especificadas</t>
  </si>
  <si>
    <t>ATANH</t>
  </si>
  <si>
    <t>Retorna a tangente hiperbólica inversa de um número</t>
  </si>
  <si>
    <t>AVEDEV</t>
  </si>
  <si>
    <t>DESV.MÉDIO</t>
  </si>
  <si>
    <t>Retorna a média dos desvios absolutos dos pontos de dados a partir de sua média</t>
  </si>
  <si>
    <t>AVERAGE</t>
  </si>
  <si>
    <t>Retorna a média dos argumentos</t>
  </si>
  <si>
    <t>AVERAGEA</t>
  </si>
  <si>
    <t>MÉDIAA</t>
  </si>
  <si>
    <t>Retorna a média dos argumentos, inclusive números, texto e valores lógicos</t>
  </si>
  <si>
    <t>BETADIST</t>
  </si>
  <si>
    <t>DISTBETA</t>
  </si>
  <si>
    <t>Retorna a função de densidade da probabilidade beta cumulativa</t>
  </si>
  <si>
    <t>BETAINV</t>
  </si>
  <si>
    <t>BETA.ACUM.INV</t>
  </si>
  <si>
    <t>Retorna o inverso da função de densidade da probabilidade beta cumulativa</t>
  </si>
  <si>
    <t>BINOMDIST</t>
  </si>
  <si>
    <t>DISTRBINOM</t>
  </si>
  <si>
    <t>Retorna a probabilidade de distribuição binomial do termo individual</t>
  </si>
  <si>
    <t>CEILING</t>
  </si>
  <si>
    <t>TETO</t>
  </si>
  <si>
    <t>Arredonda um número para o inteiro mais próximo ou para o múltiplo mais próximo de significância</t>
  </si>
  <si>
    <t>CELL</t>
  </si>
  <si>
    <t>CÉL</t>
  </si>
  <si>
    <t>Retorna informações sobre formatação, localização ou conteúdo de uma célula</t>
  </si>
  <si>
    <t>CHAR</t>
  </si>
  <si>
    <t>CARACT</t>
  </si>
  <si>
    <t>Retorna o caractere especificado pelo número de código</t>
  </si>
  <si>
    <t>CHIDIST</t>
  </si>
  <si>
    <t>DIST.QUI</t>
  </si>
  <si>
    <t>Retorna a probabilidade unicaudal da distribuição qui-quadrada</t>
  </si>
  <si>
    <t>CHIINV</t>
  </si>
  <si>
    <t>INV.QUI</t>
  </si>
  <si>
    <t>Retorna o inverso da probabilidade unicaudal da distribuição qui-quadrada</t>
  </si>
  <si>
    <t>CHOOSE</t>
  </si>
  <si>
    <t>ESCOLHER</t>
  </si>
  <si>
    <t>Escolher um valor em uma lista de valores, com base em um índice</t>
  </si>
  <si>
    <t>CLEAN</t>
  </si>
  <si>
    <t>TIRAR</t>
  </si>
  <si>
    <t>Remove todos os caracteres do texto que não podem ser impressos</t>
  </si>
  <si>
    <t>CODE</t>
  </si>
  <si>
    <t>Retorna um código numérico para o primeiro caractere em uma seqüência de texto</t>
  </si>
  <si>
    <t>COLUMN</t>
  </si>
  <si>
    <t>COL</t>
  </si>
  <si>
    <t>Retorna o número da coluna de uma referência</t>
  </si>
  <si>
    <t>COLUMNS</t>
  </si>
  <si>
    <t>COLS</t>
  </si>
  <si>
    <t>Retorna o número de colunas em uma referência</t>
  </si>
  <si>
    <t>COMBIN</t>
  </si>
  <si>
    <t>Retorna o número de combinações de um determinado número de objetos</t>
  </si>
  <si>
    <t>CONCATENATE</t>
  </si>
  <si>
    <t>CONCATENAR</t>
  </si>
  <si>
    <t>Agrupa vários itens de texto em um item de texto</t>
  </si>
  <si>
    <t>CONFIDENCE</t>
  </si>
  <si>
    <t>INT.CONFIANÇA</t>
  </si>
  <si>
    <t>Retorna o intervalo de confiança para uma média da população</t>
  </si>
  <si>
    <t>CORREL</t>
  </si>
  <si>
    <t>Retorna o coeficiente de correlação entre dois conjuntos de dados</t>
  </si>
  <si>
    <t>COS</t>
  </si>
  <si>
    <t>Retorna o cosseno de um número</t>
  </si>
  <si>
    <t>COSH</t>
  </si>
  <si>
    <t>Retorna o cosseno hiperbólico de um número</t>
  </si>
  <si>
    <t>COUNT</t>
  </si>
  <si>
    <t>CONT.NÚM</t>
  </si>
  <si>
    <t>Calcula quantos números há na lista de argumentos</t>
  </si>
  <si>
    <t>COUNTA</t>
  </si>
  <si>
    <t>CONT.VALORES</t>
  </si>
  <si>
    <t>Calcula quantos valores há na lista de argumentos</t>
  </si>
  <si>
    <t>COUNTBLANK</t>
  </si>
  <si>
    <t>CONTAR.VAZIO</t>
  </si>
  <si>
    <t>Conta o número de células vazias no intervalo especificado</t>
  </si>
  <si>
    <t>COUNTIF</t>
  </si>
  <si>
    <t>CONT.SE</t>
  </si>
  <si>
    <t>Calcula o número de células não vazias em um intervalo que correspondem ao critério especificado</t>
  </si>
  <si>
    <t>COVAR</t>
  </si>
  <si>
    <t>Retorna a covariância, a média dos produtos dos desvios pares</t>
  </si>
  <si>
    <t>CRITBINOM</t>
  </si>
  <si>
    <t>CRIT.BINOM</t>
  </si>
  <si>
    <t>Retorna o menor valor para o qual a distribuição binomial cumulativa é menor ou igual a um valor padrão</t>
  </si>
  <si>
    <t>DATE</t>
  </si>
  <si>
    <t>DATA</t>
  </si>
  <si>
    <t>Retorna o número de série de uma data específica</t>
  </si>
  <si>
    <t>DATEVALUE</t>
  </si>
  <si>
    <t>DATA.VALOR</t>
  </si>
  <si>
    <t>Converte uma data na forma de texto para um número de série</t>
  </si>
  <si>
    <t>DAVERAGE</t>
  </si>
  <si>
    <t>BDMÉDIA</t>
  </si>
  <si>
    <t>Retorna a média de entradas selecionadas de um banco de dados</t>
  </si>
  <si>
    <t>DAY</t>
  </si>
  <si>
    <t>DIA</t>
  </si>
  <si>
    <t>Converte um número de série em um dia do mês</t>
  </si>
  <si>
    <t>DAYS360</t>
  </si>
  <si>
    <t>DIAS360</t>
  </si>
  <si>
    <t>Calcula o número de dias entre duas datas com base em um ano de 360 dias</t>
  </si>
  <si>
    <t>DB</t>
  </si>
  <si>
    <t>BD</t>
  </si>
  <si>
    <t>Retorna a depreciação de um ativo para um período especificado, usando o método de balanço de declínio fixo</t>
  </si>
  <si>
    <t>DCOUNT</t>
  </si>
  <si>
    <t>BDCONTAR</t>
  </si>
  <si>
    <t>Conta as células que contêm números em um banco de dados</t>
  </si>
  <si>
    <t>DCOUNTA</t>
  </si>
  <si>
    <t>BDCONTARA</t>
  </si>
  <si>
    <t>Conta células não vazias em um banco de dados</t>
  </si>
  <si>
    <t>DDB</t>
  </si>
  <si>
    <t>BDD</t>
  </si>
  <si>
    <t>Retorna a depreciação de um ativo para um período especificado usando o método de balanço de declínio duplo ou algum outro método especificado</t>
  </si>
  <si>
    <t>DEGREES</t>
  </si>
  <si>
    <t>GRAUS</t>
  </si>
  <si>
    <t>Converte radianos em graus</t>
  </si>
  <si>
    <t>DEVSQ</t>
  </si>
  <si>
    <t>DESVQ</t>
  </si>
  <si>
    <t>Retorna a soma dos quadrados dos desvios</t>
  </si>
  <si>
    <t>DGET</t>
  </si>
  <si>
    <t>BDEXTRAIR</t>
  </si>
  <si>
    <t>Extrai de um banco de dados um único registro que corresponde a um critério específico</t>
  </si>
  <si>
    <t>DMAX</t>
  </si>
  <si>
    <t>BDMÁX</t>
  </si>
  <si>
    <t>Retorna o valor máximo de entradas selecionadas de um banco de dados</t>
  </si>
  <si>
    <t>DMIN</t>
  </si>
  <si>
    <t>BDMÍN</t>
  </si>
  <si>
    <t>Retorna o valor mínimo de entradas selecionadas de um banco de dados</t>
  </si>
  <si>
    <t>DOLLAR</t>
  </si>
  <si>
    <t>MOEDA</t>
  </si>
  <si>
    <t>Converte um valor em texto no formato monetário</t>
  </si>
  <si>
    <t>DPRODUCT</t>
  </si>
  <si>
    <t>BDMULTPL</t>
  </si>
  <si>
    <t>Multiplica o conteúdo da coluna do banco de dados que atenda os critérios</t>
  </si>
  <si>
    <t>DSTDEV</t>
  </si>
  <si>
    <t>BDEST</t>
  </si>
  <si>
    <t>Estima o desvio padrão com base em uma amostra de entradas selecionadas de um banco de dados</t>
  </si>
  <si>
    <t>DSTDEVP</t>
  </si>
  <si>
    <t>BDDESVPA</t>
  </si>
  <si>
    <t>Calcula o desvio padrão com base na população inteira de entradas selecionadas de um banco de dados</t>
  </si>
  <si>
    <t>DSUM</t>
  </si>
  <si>
    <t>BDSOMA</t>
  </si>
  <si>
    <t>Adiciona os números na coluna de campos de registros do banco de dados que correspondem ao critério</t>
  </si>
  <si>
    <t>DVAR</t>
  </si>
  <si>
    <t>BDVAREST</t>
  </si>
  <si>
    <t>Estima a variância com base em uma amostra de entradas selecionadas de um banco de dados</t>
  </si>
  <si>
    <t>DVARP</t>
  </si>
  <si>
    <t>BDVARP</t>
  </si>
  <si>
    <t>Calcula a variância com base na população inteira de entradas selecionadas de um banco de dados</t>
  </si>
  <si>
    <t>ERROR.TYPE</t>
  </si>
  <si>
    <t>TIPO.ERRO</t>
  </si>
  <si>
    <t>Retorna um número correspondente a um tipo de erro</t>
  </si>
  <si>
    <t>EVEN</t>
  </si>
  <si>
    <t>PAR</t>
  </si>
  <si>
    <t>Arredonda um número para cima até o inteiro par mais próximo</t>
  </si>
  <si>
    <t>EXACT</t>
  </si>
  <si>
    <t>EXATO</t>
  </si>
  <si>
    <t>Verifica se dois valores de texto são idênticos</t>
  </si>
  <si>
    <t>EXP</t>
  </si>
  <si>
    <t>Retorna e elevado à potência de um número especificado</t>
  </si>
  <si>
    <t>EXPONDIST</t>
  </si>
  <si>
    <t>DISTEXPON</t>
  </si>
  <si>
    <t>Retorna a distribuição exponencial</t>
  </si>
  <si>
    <t>FACT</t>
  </si>
  <si>
    <t>FATORIAL</t>
  </si>
  <si>
    <t>Retorna o fatorial de um número</t>
  </si>
  <si>
    <t>FALSO</t>
  </si>
  <si>
    <t>Retorna o valor lógico falso</t>
  </si>
  <si>
    <t>FDIST</t>
  </si>
  <si>
    <t>DISTF</t>
  </si>
  <si>
    <t>Retorna a distribuição de probabilidade F</t>
  </si>
  <si>
    <t>FIND</t>
  </si>
  <si>
    <t>PROCURAR</t>
  </si>
  <si>
    <t>Procura um valor de texto dentro de outro (diferencia maiúsculas de minúsculas)</t>
  </si>
  <si>
    <t>FINV</t>
  </si>
  <si>
    <t>INVF</t>
  </si>
  <si>
    <t>Retorna o inverso da distribuição de probabilidade F</t>
  </si>
  <si>
    <t>FISHER</t>
  </si>
  <si>
    <t>Retorna a transformação Fisher</t>
  </si>
  <si>
    <t>FISHERINV</t>
  </si>
  <si>
    <t>FISHERIN</t>
  </si>
  <si>
    <t>Retorna o inverso da transformação de Fisher</t>
  </si>
  <si>
    <t>FIXED</t>
  </si>
  <si>
    <t>DEF.NÚM.DEC</t>
  </si>
  <si>
    <t>Formata um número como texto com um número fixo de decimais</t>
  </si>
  <si>
    <t>FLOOR</t>
  </si>
  <si>
    <t>ARREDMULTB</t>
  </si>
  <si>
    <t>Arredonda um número para baixo, aproximando-o de zero</t>
  </si>
  <si>
    <t>FORECAST</t>
  </si>
  <si>
    <t>PREVISÃO</t>
  </si>
  <si>
    <t>Retorna um valor ao longo de uma linha reta</t>
  </si>
  <si>
    <t>FREQUENCY</t>
  </si>
  <si>
    <t>FREQÜÊNCIA</t>
  </si>
  <si>
    <t>Retorna uma distribuição de freqüência como uma matriz vertical</t>
  </si>
  <si>
    <t>FTEST</t>
  </si>
  <si>
    <t>TESTEF</t>
  </si>
  <si>
    <t>Retorna o resultado de um teste F</t>
  </si>
  <si>
    <t>FV</t>
  </si>
  <si>
    <t>VF</t>
  </si>
  <si>
    <t>Retorna o valor futuro de um investimento</t>
  </si>
  <si>
    <t>GAMMADIST</t>
  </si>
  <si>
    <t>DISTGAMA</t>
  </si>
  <si>
    <t>Retorna a distribuição gama</t>
  </si>
  <si>
    <t>GAMMAINV</t>
  </si>
  <si>
    <t>INVGAMA</t>
  </si>
  <si>
    <t>Retorna o inverso da distribuição cumulativa gama</t>
  </si>
  <si>
    <t>GAMMALN</t>
  </si>
  <si>
    <t>LNGAMA</t>
  </si>
  <si>
    <t>Retorna o logaritmo natural da função gama, G(x)</t>
  </si>
  <si>
    <t>GEOMEAN</t>
  </si>
  <si>
    <t>MÉDIA.GEOMÉTRICA</t>
  </si>
  <si>
    <t>Retorna a média geométrica</t>
  </si>
  <si>
    <t>GETPIVOTDATA</t>
  </si>
  <si>
    <t>INFODADOSTABELADINÂMICA</t>
  </si>
  <si>
    <t>Retorna os dados armazenados em uma tabela dinâmica</t>
  </si>
  <si>
    <t>GROWTH</t>
  </si>
  <si>
    <t>CRESCIMENTO</t>
  </si>
  <si>
    <t>Retorna valores ao longo de uma tendência exponencial</t>
  </si>
  <si>
    <t>HARMEAN</t>
  </si>
  <si>
    <t>MÉDIA.HARMÔNICA</t>
  </si>
  <si>
    <t>Retorna a média harmônica</t>
  </si>
  <si>
    <t>HLOOKUP</t>
  </si>
  <si>
    <t>PROCH</t>
  </si>
  <si>
    <t>Procura na linha superior de uma matriz e retorna o valor da célula especificada</t>
  </si>
  <si>
    <t>HOUR</t>
  </si>
  <si>
    <t>HORA</t>
  </si>
  <si>
    <t>Converte um número de série em uma hora</t>
  </si>
  <si>
    <t>HYPERLINK</t>
  </si>
  <si>
    <t>Cria um atalho ou um salto que abre um documento armazenado em um servidor de rede, em uma intranet ou na Internet</t>
  </si>
  <si>
    <t>HYPGEOMDIST</t>
  </si>
  <si>
    <t>DIST.HIPERGEOM</t>
  </si>
  <si>
    <t>Retorna a distribuição hipergeométrica</t>
  </si>
  <si>
    <t>IF</t>
  </si>
  <si>
    <t>SE</t>
  </si>
  <si>
    <t>Especifica um teste lógico a ser executado</t>
  </si>
  <si>
    <t>INDEX</t>
  </si>
  <si>
    <t>ÍNDICE</t>
  </si>
  <si>
    <t>Usa um índice para escolher um valor de uma referência ou matriz</t>
  </si>
  <si>
    <t>INDIRECT</t>
  </si>
  <si>
    <t>INDIRETO</t>
  </si>
  <si>
    <t>Retorna uma referência indicada por um valor de texto</t>
  </si>
  <si>
    <t>INFO</t>
  </si>
  <si>
    <t>INFORMAÇÃO</t>
  </si>
  <si>
    <t>Retorna informações sobre o ambiente operacional atual</t>
  </si>
  <si>
    <t>INT</t>
  </si>
  <si>
    <t>Arredonda um número para baixo até o inteiro mais próximo</t>
  </si>
  <si>
    <t>INTERCEPT</t>
  </si>
  <si>
    <t>INTERCEPÇÃO</t>
  </si>
  <si>
    <t>Retorna a intercepção da linha de regressão linear</t>
  </si>
  <si>
    <t>IPMT</t>
  </si>
  <si>
    <t>IPGTO</t>
  </si>
  <si>
    <t>Retorna o pagamento de juros para um investimento em um determinado período</t>
  </si>
  <si>
    <t>IRR</t>
  </si>
  <si>
    <t>TIR</t>
  </si>
  <si>
    <t>Retorna a taxa interna de retorno de uma série de fluxos de caixa</t>
  </si>
  <si>
    <t>ISBLANK</t>
  </si>
  <si>
    <t>ÉCEL.VAZIA</t>
  </si>
  <si>
    <t>Retorna VERDADEIRO se o conteúdo da célula for vazio</t>
  </si>
  <si>
    <t>ISERR</t>
  </si>
  <si>
    <t>ÉERRO</t>
  </si>
  <si>
    <t>Retorna VERDADEIRO se o valor for um valor de erro diferente de #N/D</t>
  </si>
  <si>
    <t>ISERROR</t>
  </si>
  <si>
    <t>ÉERROS</t>
  </si>
  <si>
    <t>Retorna VERDADEIRO se o valor for um valor de erro</t>
  </si>
  <si>
    <t>ISLOGICAL</t>
  </si>
  <si>
    <t>ÉLÓGICO</t>
  </si>
  <si>
    <t>Retorna VERDADEIRO se o valor for um valor lógico</t>
  </si>
  <si>
    <t>ISNA</t>
  </si>
  <si>
    <t>É.NÃO.DISP</t>
  </si>
  <si>
    <t>Retorna VERDADEIRO se o valor for o valor de erro #N/D</t>
  </si>
  <si>
    <t>ISNONTEXT</t>
  </si>
  <si>
    <t>É.NÃO.TEXTO</t>
  </si>
  <si>
    <t>Retorna VERDADEIRO se o valor for diferente de texto</t>
  </si>
  <si>
    <t>ISNUMBER</t>
  </si>
  <si>
    <t>ÉNÚM</t>
  </si>
  <si>
    <t>Retorna VERDADEIRO se o valor for um número</t>
  </si>
  <si>
    <t>ISREF</t>
  </si>
  <si>
    <t>ÉREF</t>
  </si>
  <si>
    <t>Retorna VERDADEIRO se o valor for uma referência</t>
  </si>
  <si>
    <t>ISTEXT</t>
  </si>
  <si>
    <t>ÉTEXTO</t>
  </si>
  <si>
    <t>Retorna VERDADEIRO se o valor for texto</t>
  </si>
  <si>
    <t>KURT</t>
  </si>
  <si>
    <t>CURT</t>
  </si>
  <si>
    <t>Retorna a curtose de um conjunto de dados</t>
  </si>
  <si>
    <t>LARGE</t>
  </si>
  <si>
    <t>MAIOR</t>
  </si>
  <si>
    <t>Retorna o maior valor k-ésimo de um conjunto de dados</t>
  </si>
  <si>
    <t>LEFT</t>
  </si>
  <si>
    <t>ESQUERDA</t>
  </si>
  <si>
    <t>Retorna os caracteres mais à esquerda de um valor de texto</t>
  </si>
  <si>
    <t>LEN</t>
  </si>
  <si>
    <t>NUM.CARACT</t>
  </si>
  <si>
    <t>Retorna o número de caracteres de uma célula</t>
  </si>
  <si>
    <t>LINEST</t>
  </si>
  <si>
    <t>PROJ.LIN</t>
  </si>
  <si>
    <t>Retorna os parâmetros de uma tendência linear</t>
  </si>
  <si>
    <t>LN</t>
  </si>
  <si>
    <t>Retorna o logaritmo natural de um número</t>
  </si>
  <si>
    <t>LOG</t>
  </si>
  <si>
    <t>Retorna o logaritmo de um número de uma base especificada</t>
  </si>
  <si>
    <t>LOG10</t>
  </si>
  <si>
    <t>Retorna o logaritmo de base 10 de um número</t>
  </si>
  <si>
    <t>LOGEST</t>
  </si>
  <si>
    <t>PROJ.LOG</t>
  </si>
  <si>
    <t>Retorna os parâmetros de uma tendência exponencial</t>
  </si>
  <si>
    <t>LOGINV</t>
  </si>
  <si>
    <t>INVLOG</t>
  </si>
  <si>
    <t>Retorna o inverso da distribuição lognormal</t>
  </si>
  <si>
    <t>LOGNORMDIST</t>
  </si>
  <si>
    <t>DIST.LOGNORMAL</t>
  </si>
  <si>
    <t>Retorna a distribuição lognormal cumulativa</t>
  </si>
  <si>
    <t>LOOKUP</t>
  </si>
  <si>
    <t>PROC</t>
  </si>
  <si>
    <t>Procura valores em um vetor ou em uma matriz</t>
  </si>
  <si>
    <t>LOWER</t>
  </si>
  <si>
    <t>MINÚSCULA</t>
  </si>
  <si>
    <t>Converte texto para minúsculas</t>
  </si>
  <si>
    <t>MATCH</t>
  </si>
  <si>
    <t>CORRESP</t>
  </si>
  <si>
    <t>Procura valores em uma referência ou matriz</t>
  </si>
  <si>
    <t>MAX</t>
  </si>
  <si>
    <t>MÁXIMO</t>
  </si>
  <si>
    <t>Retorna o valor máximo em uma lista de argumentos</t>
  </si>
  <si>
    <t>MAXA</t>
  </si>
  <si>
    <t>MÁXIMOA</t>
  </si>
  <si>
    <t>Retorna o maior valor em uma lista de argumentos, inclusive números, texto e valores lógicos</t>
  </si>
  <si>
    <t>MDETERM</t>
  </si>
  <si>
    <t>MATRIZ.DETERM</t>
  </si>
  <si>
    <t>Retorna o determinante de uma matriz</t>
  </si>
  <si>
    <t>MEDIAN</t>
  </si>
  <si>
    <t>MED</t>
  </si>
  <si>
    <t>Retorna a mediana dos números indicados</t>
  </si>
  <si>
    <t>MID</t>
  </si>
  <si>
    <t>EXT.TEXTO</t>
  </si>
  <si>
    <t>Retorna um número específico de caracteres de uma seqüência de texto começando na posição especificada</t>
  </si>
  <si>
    <t>MIN</t>
  </si>
  <si>
    <t>MÍNIMO</t>
  </si>
  <si>
    <t>Retorna o valor mínimo na lista de argumentos</t>
  </si>
  <si>
    <t>MINA</t>
  </si>
  <si>
    <t>MÍNIMOA</t>
  </si>
  <si>
    <t>Retorna o menor valor na lista de argumentos, inclusive números, texto e valores lógicos</t>
  </si>
  <si>
    <t>MINUTE</t>
  </si>
  <si>
    <t>MINUTO</t>
  </si>
  <si>
    <t>Converte um número de série em um minuto</t>
  </si>
  <si>
    <t>MINVERSE</t>
  </si>
  <si>
    <t>MATRIZ.INVERSO</t>
  </si>
  <si>
    <t>Retorna a matriz inversa de uma matriz</t>
  </si>
  <si>
    <t>MIRR</t>
  </si>
  <si>
    <t>MTIR</t>
  </si>
  <si>
    <t>Calcula a taxa interna de retorno em que fluxos de caixa positivos e negativos são financiados com diferentes taxas</t>
  </si>
  <si>
    <t>MMULT</t>
  </si>
  <si>
    <t>MATRIZ.MULT</t>
  </si>
  <si>
    <t>Retorna o produto matricial de duas matrizes</t>
  </si>
  <si>
    <t>MOD</t>
  </si>
  <si>
    <t>Retorna o resto da divisão</t>
  </si>
  <si>
    <t>MODE</t>
  </si>
  <si>
    <t>MODO</t>
  </si>
  <si>
    <t>Retorna o valor mais comum em um conjunto de dados</t>
  </si>
  <si>
    <t>MONTH</t>
  </si>
  <si>
    <t>MÊS</t>
  </si>
  <si>
    <t>Converte um número de série em um mês</t>
  </si>
  <si>
    <t>N</t>
  </si>
  <si>
    <t>Retorna o valor convertido em um número</t>
  </si>
  <si>
    <t>NA</t>
  </si>
  <si>
    <t>NÃO.DISP</t>
  </si>
  <si>
    <t>Retorna o valor de erro #N/D</t>
  </si>
  <si>
    <t>NEGBINOMDIST</t>
  </si>
  <si>
    <t>DIST.BIN.NEG</t>
  </si>
  <si>
    <t>Retorna a distribuição binomial negativa</t>
  </si>
  <si>
    <t>NORMDIST</t>
  </si>
  <si>
    <t>DIST.NORM.N</t>
  </si>
  <si>
    <t>Retorna a distribuição normal da média e do desvio padrão especificados</t>
  </si>
  <si>
    <t>NORMINV</t>
  </si>
  <si>
    <t>INV.NORM</t>
  </si>
  <si>
    <t>Retorna o inverso da distribuição cumulativa normal</t>
  </si>
  <si>
    <t>NORMSDIST</t>
  </si>
  <si>
    <t>DIST.NORMP</t>
  </si>
  <si>
    <t>Retorna a distribuição cumulativa normal padrão</t>
  </si>
  <si>
    <t>NORMSINV</t>
  </si>
  <si>
    <t>INV.NORMP</t>
  </si>
  <si>
    <t>Retorna o inverso da distribuição cumulativa normal padrão</t>
  </si>
  <si>
    <t>NOT</t>
  </si>
  <si>
    <t>NÃO</t>
  </si>
  <si>
    <t>Inverte o valor lógico do argumento</t>
  </si>
  <si>
    <t>NOW</t>
  </si>
  <si>
    <t>AGORA</t>
  </si>
  <si>
    <t>Retorna o número de série da data e da hora atuais</t>
  </si>
  <si>
    <t>NPER</t>
  </si>
  <si>
    <t>Retorna o número de períodos de um investimento</t>
  </si>
  <si>
    <t>NPV</t>
  </si>
  <si>
    <t>VPL</t>
  </si>
  <si>
    <t>Retorna o valor líquido atual de um investimento com base em uma série de fluxos de caixa periódicos e em uma taxa de desconto</t>
  </si>
  <si>
    <t>ODD</t>
  </si>
  <si>
    <t>ÍMPAR</t>
  </si>
  <si>
    <t>Retorna o número arredondado para cima até o inteiro ímpar mais próximo</t>
  </si>
  <si>
    <t>OFFSET</t>
  </si>
  <si>
    <t>DESLOC</t>
  </si>
  <si>
    <t>Retorna um deslocamento de referência com base em umadeterminada referência</t>
  </si>
  <si>
    <t>OR</t>
  </si>
  <si>
    <t>OU</t>
  </si>
  <si>
    <t>Retorna VERDADEIRO se um dos argumentos for VERDADEIRO</t>
  </si>
  <si>
    <t>PEARSON</t>
  </si>
  <si>
    <t>Retorna o coeficiente de correlação do momento do produto Pearson</t>
  </si>
  <si>
    <t>PERCENTILE</t>
  </si>
  <si>
    <t>PERCENTIL</t>
  </si>
  <si>
    <t>Retorna o k-ésimo percentil de valores em um intervalo</t>
  </si>
  <si>
    <t>PERCENTRANK</t>
  </si>
  <si>
    <t>ORDEM.PORCENTUAL</t>
  </si>
  <si>
    <t>Retorna a ordem percentual de um valor em um conjunto de dados</t>
  </si>
  <si>
    <t>PERMUT</t>
  </si>
  <si>
    <t>Retorna o número de permutações para um dado número de objetos</t>
  </si>
  <si>
    <t>PI</t>
  </si>
  <si>
    <t>Retorna o valor de Pi</t>
  </si>
  <si>
    <t>PMT</t>
  </si>
  <si>
    <t>PGTO</t>
  </si>
  <si>
    <t>Retorna o pagamento periódico de uma anuidade</t>
  </si>
  <si>
    <t>POISSON</t>
  </si>
  <si>
    <t>Retorna a distribuição Poisson</t>
  </si>
  <si>
    <t>POWER</t>
  </si>
  <si>
    <t>POTÊNCIA</t>
  </si>
  <si>
    <t>Retorna o resultado de um número elevado a uma potência</t>
  </si>
  <si>
    <t>PPMT</t>
  </si>
  <si>
    <t>PPGTO</t>
  </si>
  <si>
    <t>Retorna o pagamento de capital para determinado período de investimento</t>
  </si>
  <si>
    <t>PROB</t>
  </si>
  <si>
    <t>Retorna a probabilidade de valores em um intervalo estarem entre dois limites</t>
  </si>
  <si>
    <t>PRODUCT</t>
  </si>
  <si>
    <t>MULT</t>
  </si>
  <si>
    <t>Multiplica os argumentos</t>
  </si>
  <si>
    <t>PROPER</t>
  </si>
  <si>
    <t>PRI.MAIUSCULA</t>
  </si>
  <si>
    <t>Converte a primeira letra de cada palavra em maiúscula</t>
  </si>
  <si>
    <t>PV</t>
  </si>
  <si>
    <t>VP</t>
  </si>
  <si>
    <t>Retorna o valor presente de um investimento</t>
  </si>
  <si>
    <t>QUARTILE</t>
  </si>
  <si>
    <t>QUARTIL</t>
  </si>
  <si>
    <t>Retorna o quartil de um conjunto de dados</t>
  </si>
  <si>
    <t>RADIANS</t>
  </si>
  <si>
    <t>RADIANOS</t>
  </si>
  <si>
    <t>Converte graus em radianos</t>
  </si>
  <si>
    <t>RAND</t>
  </si>
  <si>
    <t>ALEATÓRIO</t>
  </si>
  <si>
    <t>Retorna um número aleatório entre 0 e 1</t>
  </si>
  <si>
    <t>RANK</t>
  </si>
  <si>
    <t>ORDEM</t>
  </si>
  <si>
    <t>Retorna a posição de um número em uma lista de números</t>
  </si>
  <si>
    <t>RATE</t>
  </si>
  <si>
    <t>TAXA</t>
  </si>
  <si>
    <t>Retorna a taxa de juros por período de uma anuidade</t>
  </si>
  <si>
    <t>REPLACE</t>
  </si>
  <si>
    <t>MUDAR</t>
  </si>
  <si>
    <t>Muda os caracteres dentro do texto</t>
  </si>
  <si>
    <t>REPT</t>
  </si>
  <si>
    <t>Repete um texto um determinado número de vezes</t>
  </si>
  <si>
    <t>RIGHT</t>
  </si>
  <si>
    <t>DIREITA</t>
  </si>
  <si>
    <t>Retorna os caracteres mais à direita de um valor de texto</t>
  </si>
  <si>
    <t>ROMAN</t>
  </si>
  <si>
    <t>ROMANO</t>
  </si>
  <si>
    <t>Converte um numeral arábico em romanos, como texto</t>
  </si>
  <si>
    <t>ROUND</t>
  </si>
  <si>
    <t>ARRED</t>
  </si>
  <si>
    <t>Arredonda um número até uma quantidade especificada de dígitos</t>
  </si>
  <si>
    <t>ROUNDDOWN</t>
  </si>
  <si>
    <t>ARREDONDAR.PARA.BAIXO</t>
  </si>
  <si>
    <t>Arredonda um número para baixo até zero</t>
  </si>
  <si>
    <t>ROUNDUP</t>
  </si>
  <si>
    <t>ARREDONDAR.PARA.CIMA</t>
  </si>
  <si>
    <t>Arredonda um número para cima, afastando-o de zero</t>
  </si>
  <si>
    <t>ROW</t>
  </si>
  <si>
    <t>LIN</t>
  </si>
  <si>
    <t>Retorna o número da linha de uma referência</t>
  </si>
  <si>
    <t>ROWS</t>
  </si>
  <si>
    <t>LINS</t>
  </si>
  <si>
    <t>Retorna o número de linhas em uma referência</t>
  </si>
  <si>
    <t>RSQ</t>
  </si>
  <si>
    <t>RQUAD</t>
  </si>
  <si>
    <t>Retorna o quadrado do coeficiente de correlação do momento do produto de Pearson</t>
  </si>
  <si>
    <t>SEARCH</t>
  </si>
  <si>
    <t>LOCALIZAR</t>
  </si>
  <si>
    <t>Localiza um valor de texto dentro de outro (não diferencia maiúsculas de minúsculas)</t>
  </si>
  <si>
    <t>SECOND</t>
  </si>
  <si>
    <t>SEGUNDO</t>
  </si>
  <si>
    <t>Converte um número de série em um segundo</t>
  </si>
  <si>
    <t>SERIESSUM</t>
  </si>
  <si>
    <t>SOMASEQÜÊNCIA</t>
  </si>
  <si>
    <t>Retorna a soma de uma série polinomial</t>
  </si>
  <si>
    <t>SIGN</t>
  </si>
  <si>
    <t>SINAL</t>
  </si>
  <si>
    <t>Retorna o sinal de um número</t>
  </si>
  <si>
    <t>SIN</t>
  </si>
  <si>
    <t>SEN</t>
  </si>
  <si>
    <t>Retorna o seno de um ângulo dado</t>
  </si>
  <si>
    <t>SINH</t>
  </si>
  <si>
    <t>SENH</t>
  </si>
  <si>
    <t>Retorna o seno hiperbólico de um número</t>
  </si>
  <si>
    <t>SKEW</t>
  </si>
  <si>
    <t>DISTORÇÃO</t>
  </si>
  <si>
    <t>Retorna a distorção de uma distribuição</t>
  </si>
  <si>
    <t>SLN</t>
  </si>
  <si>
    <t>DPD</t>
  </si>
  <si>
    <t>Retorna a depreciação em linha reta de um ativo durante um período</t>
  </si>
  <si>
    <t>SLOPE</t>
  </si>
  <si>
    <t>INCLINAÇÃO</t>
  </si>
  <si>
    <t>Retorna a inclinação da linha de regressão linear</t>
  </si>
  <si>
    <t>SMALL</t>
  </si>
  <si>
    <t>MENOR</t>
  </si>
  <si>
    <t>Retorna o menor valor k-ésimo em um conjunto de dados</t>
  </si>
  <si>
    <t>SQRT</t>
  </si>
  <si>
    <t>RAIZ</t>
  </si>
  <si>
    <t>Retorna uma raiz quadrada positiva</t>
  </si>
  <si>
    <t>STANDARDIZE</t>
  </si>
  <si>
    <t>PADRONIZAR</t>
  </si>
  <si>
    <t>Retorna um valor normalizado</t>
  </si>
  <si>
    <t>STDEV</t>
  </si>
  <si>
    <t>DESVPAD</t>
  </si>
  <si>
    <t>Estima o desvio padrão com base em uma amostra</t>
  </si>
  <si>
    <t>STDEVA</t>
  </si>
  <si>
    <t>DESVPADA</t>
  </si>
  <si>
    <t>Estima o desvio padrão com base em uma amostra, inclusive números, texto e valores lógicos</t>
  </si>
  <si>
    <t>STDEVP</t>
  </si>
  <si>
    <t>DESVPADP</t>
  </si>
  <si>
    <t>Calcula o desvio padrão com base na população total</t>
  </si>
  <si>
    <t>STDEVPA</t>
  </si>
  <si>
    <t>DESVPADPA</t>
  </si>
  <si>
    <t>Calcula o desvio padrão com base na população total, inclusive números, texto e valores lógicos</t>
  </si>
  <si>
    <t>STEYX</t>
  </si>
  <si>
    <t>EPADYX</t>
  </si>
  <si>
    <t>Retorna o erro padrão do valor y previsto para cada x da regressão</t>
  </si>
  <si>
    <t>SUBSTITUTE</t>
  </si>
  <si>
    <t>SUBSTITUIR</t>
  </si>
  <si>
    <t>Substituir um novo texto por um texto antigo em uma seqüência de texto</t>
  </si>
  <si>
    <t>SUBTOTAL</t>
  </si>
  <si>
    <t>Retorna um subtotal em uma lista ou em um banco de dados</t>
  </si>
  <si>
    <t>SUM</t>
  </si>
  <si>
    <t>SOMA</t>
  </si>
  <si>
    <t>Adiciona os argumentos</t>
  </si>
  <si>
    <t>SUMIF</t>
  </si>
  <si>
    <t>SOMASE</t>
  </si>
  <si>
    <t>Adiciona as células especificadas por um determinado critério</t>
  </si>
  <si>
    <t>SUMPRODUCT</t>
  </si>
  <si>
    <t>SOMARPRODUTO</t>
  </si>
  <si>
    <t>Retorna a soma dos produtos de componentes correspondentes de matrizes</t>
  </si>
  <si>
    <t>SUMSQ</t>
  </si>
  <si>
    <t>SOMAQUAD</t>
  </si>
  <si>
    <t>Retorna a soma dos quadrados dos argumentos</t>
  </si>
  <si>
    <t>SUMX2PY2</t>
  </si>
  <si>
    <t>SOMAX2SY2</t>
  </si>
  <si>
    <t>Retorna a soma da soma dos quadrados dos valores correspondentes em duas matrizes</t>
  </si>
  <si>
    <t>SYD</t>
  </si>
  <si>
    <t>SDA</t>
  </si>
  <si>
    <t>Retorna a depreciação dos dígitos da soma dos anos de um ativopara um período especificado</t>
  </si>
  <si>
    <t>T</t>
  </si>
  <si>
    <t>Converte os argumentos em texto</t>
  </si>
  <si>
    <t>TAN</t>
  </si>
  <si>
    <t>Retorna a tangente de um número</t>
  </si>
  <si>
    <t>TANH</t>
  </si>
  <si>
    <t>Retorna a tangente hiperbólica de um número</t>
  </si>
  <si>
    <t>TDIST</t>
  </si>
  <si>
    <t>DISTT</t>
  </si>
  <si>
    <t>Retorna a distribuição t de Student</t>
  </si>
  <si>
    <t>TEXT</t>
  </si>
  <si>
    <t>TEXTO</t>
  </si>
  <si>
    <t>Formata um número e o converte em texto</t>
  </si>
  <si>
    <t>TIME</t>
  </si>
  <si>
    <t>TEMPO</t>
  </si>
  <si>
    <t>Retorna o número de série de um horário específico</t>
  </si>
  <si>
    <t>TIMEVALUE</t>
  </si>
  <si>
    <t>VALOR.TEMPO</t>
  </si>
  <si>
    <t>Converte um horário na forma de texto para um número de série</t>
  </si>
  <si>
    <t>TINV</t>
  </si>
  <si>
    <t>INVT</t>
  </si>
  <si>
    <t>Retorna o inverso da distribuição t de Student</t>
  </si>
  <si>
    <t>TODAY</t>
  </si>
  <si>
    <t>HOJE</t>
  </si>
  <si>
    <t>Retorna o número de série da data de hoje</t>
  </si>
  <si>
    <t>TRANSPOSE</t>
  </si>
  <si>
    <t>TRANSPOR</t>
  </si>
  <si>
    <t>Converte um intervalo de células de vertical em horizontal e vice-versa</t>
  </si>
  <si>
    <t>TREND</t>
  </si>
  <si>
    <t>TENDÊNCIA</t>
  </si>
  <si>
    <t>Retorna valores ao longo de uma tendência linear</t>
  </si>
  <si>
    <t>TRIM</t>
  </si>
  <si>
    <t>ARRUMAR</t>
  </si>
  <si>
    <t>Remove espaços do texto</t>
  </si>
  <si>
    <t>TRIMMEAN</t>
  </si>
  <si>
    <t>MÉDIA.INTERNA</t>
  </si>
  <si>
    <t>Retorna a média do interior de um conjunto de dados</t>
  </si>
  <si>
    <t>TRUNC</t>
  </si>
  <si>
    <t>TRUNCAR</t>
  </si>
  <si>
    <t>Trunca um número para um inteiro</t>
  </si>
  <si>
    <t>TTEST</t>
  </si>
  <si>
    <t>TESTET</t>
  </si>
  <si>
    <t>Retorna a probabilidade associada ao teste t de Student</t>
  </si>
  <si>
    <t>TYPE</t>
  </si>
  <si>
    <t>TIPO</t>
  </si>
  <si>
    <t>Retorna um número indicando o tipo de dados de um valor</t>
  </si>
  <si>
    <t>UPPER</t>
  </si>
  <si>
    <t>MAIÚSCULA</t>
  </si>
  <si>
    <t>Converte o texto em maiúsculas</t>
  </si>
  <si>
    <t>VALUE</t>
  </si>
  <si>
    <t>Converte um argumento de texto em um número</t>
  </si>
  <si>
    <t>VAR</t>
  </si>
  <si>
    <t>Estima a variância com base em uma amostra</t>
  </si>
  <si>
    <t>VARA</t>
  </si>
  <si>
    <t>Estima a variância com base em uma amostra, inclusive números, texto e valores lógicos</t>
  </si>
  <si>
    <t>VARP</t>
  </si>
  <si>
    <t>Calcula a variância com base na população total</t>
  </si>
  <si>
    <t>VARPA</t>
  </si>
  <si>
    <t>Calcula a variância com base na população total, inclusive números, texto e valores lógicos</t>
  </si>
  <si>
    <t>VERDADEIRO</t>
  </si>
  <si>
    <t>Retorna o valor lógico verdadeiro</t>
  </si>
  <si>
    <t>VLOOKUP</t>
  </si>
  <si>
    <t>PROCV</t>
  </si>
  <si>
    <t>Procura na primeira coluna de uma matriz e move ao longo da linha para retornar o valor de uma célula</t>
  </si>
  <si>
    <t>WEEKDAY</t>
  </si>
  <si>
    <t>DIA.DA.SEMANA</t>
  </si>
  <si>
    <t>Converte um número de série em um dia da semana</t>
  </si>
  <si>
    <t>WEIBULL</t>
  </si>
  <si>
    <t>Retorna a distribuição Weibull</t>
  </si>
  <si>
    <t>YEAR</t>
  </si>
  <si>
    <t>ANO</t>
  </si>
  <si>
    <t>Converte um número de série em um ano</t>
  </si>
  <si>
    <t>ZTEST</t>
  </si>
  <si>
    <t>TESTEZ</t>
  </si>
  <si>
    <t>Retorna o valor-P bicaudal do teste-z</t>
  </si>
  <si>
    <t>Símbolo</t>
  </si>
  <si>
    <t>Significado</t>
  </si>
  <si>
    <t>Exemplo de Escrita de Fórmulas</t>
  </si>
  <si>
    <t>=</t>
  </si>
  <si>
    <t>Igual</t>
  </si>
  <si>
    <t>Marca o início de uma fórmula escrita</t>
  </si>
  <si>
    <t>------</t>
  </si>
  <si>
    <t>Representa “igual a/igual a” em uma condição lógica</t>
  </si>
  <si>
    <t>+</t>
  </si>
  <si>
    <t>Mais</t>
  </si>
  <si>
    <t>Adiciona o número à esquerda com o número à direita</t>
  </si>
  <si>
    <t>-</t>
  </si>
  <si>
    <t>Menos</t>
  </si>
  <si>
    <t>Subtrai o número à esquerda com o número à direita</t>
  </si>
  <si>
    <t>*</t>
  </si>
  <si>
    <t>Asterisco</t>
  </si>
  <si>
    <t>Multiplica o número da esquerda pelo número da direita</t>
  </si>
  <si>
    <t>Representa um operador curinga na escrita de critérios (qualquer caractere em qualquer quantidade)</t>
  </si>
  <si>
    <t>--------</t>
  </si>
  <si>
    <t>/</t>
  </si>
  <si>
    <t>Dividir</t>
  </si>
  <si>
    <t>Divide o número à esquerda com o número à direita</t>
  </si>
  <si>
    <t>^</t>
  </si>
  <si>
    <t>Acento circunflexo</t>
  </si>
  <si>
    <t>Alimenta o número à esquerda com o nível do número à direita</t>
  </si>
  <si>
    <t>%</t>
  </si>
  <si>
    <t>Percentagem</t>
  </si>
  <si>
    <t>Faz com que o número do lado esquerdo seja uma porcentagem</t>
  </si>
  <si>
    <t>&lt;</t>
  </si>
  <si>
    <t>Menor que</t>
  </si>
  <si>
    <t>Representa “menor que” em uma condição lógica</t>
  </si>
  <si>
    <t>=SE( A1&lt;8, ”Menor que 8”, ”Pelo menos 8”)</t>
  </si>
  <si>
    <t>&gt;</t>
  </si>
  <si>
    <t>Maior que</t>
  </si>
  <si>
    <t>Representa “mais do que” em uma condição lógica</t>
  </si>
  <si>
    <t>=SE( A1&gt;8,"Mais que 8","Máximo 8" )</t>
  </si>
  <si>
    <t>$</t>
  </si>
  <si>
    <t>Cifrão</t>
  </si>
  <si>
    <t>Faça do número da linha ou letra da coluna à direita uma referência absoluta (não se moverá quando copiarmos a fórmula para outras células)</t>
  </si>
  <si>
    <t>&amp;</t>
  </si>
  <si>
    <t>E comercial</t>
  </si>
  <si>
    <t>Concatenar os dados à esquerda com os dados à direita</t>
  </si>
  <si>
    <t>?</t>
  </si>
  <si>
    <t>Pergunta</t>
  </si>
  <si>
    <t>Representa um operador curinga na escrita de critérios (qualquer caractere)</t>
  </si>
  <si>
    <t>=CONT.SE( A2:A101, "Maria?")</t>
  </si>
  <si>
    <t>~</t>
  </si>
  <si>
    <t>Til</t>
  </si>
  <si>
    <t>Faz o * ou ? literal de símbolo na escrita de critérios</t>
  </si>
  <si>
    <t>=CONT.SE( A2:A101, ”Jack~*” )</t>
  </si>
  <si>
    <t>;</t>
  </si>
  <si>
    <t>Ponto e vírgula</t>
  </si>
  <si>
    <t>Separa uma entrada e outra (pode ser substituída por vírgula, dependendo das configurações do Excel). Principal, entre os símbolos nas fórmulas do Excel.</t>
  </si>
  <si>
    <t>:</t>
  </si>
  <si>
    <t>Dois Pontos</t>
  </si>
  <si>
    <t>Representa "ligar" uma gravação de intervalo de células (A1:A10 significa célula A1 a A10 no intervalo de células)</t>
  </si>
  <si>
    <t>" "</t>
  </si>
  <si>
    <t>Aspas</t>
  </si>
  <si>
    <t>Torna-se uma mídia para digitar uma entrada de texto diretamente em uma fórmula</t>
  </si>
  <si>
    <t>' '</t>
  </si>
  <si>
    <t>Apóstrofos</t>
  </si>
  <si>
    <t>Torna-se uma mídia para inserir uma referência de nome de pasta de trabalho e planilha se o nome tiver espaços</t>
  </si>
  <si>
    <t>!</t>
  </si>
  <si>
    <t>Exclamação</t>
  </si>
  <si>
    <t>Separa uma referência de nome de planilha com a referência de coordenadas de célula/intervalo de células</t>
  </si>
  <si>
    <t>( )</t>
  </si>
  <si>
    <t>Parênteses</t>
  </si>
  <si>
    <t>Torna-se uma mídia para dar suas entradas de fórmula</t>
  </si>
  <si>
    <t>Separa um determinado cálculo para que ele possa ser executado primeiro</t>
  </si>
  <si>
    <t>{ }</t>
  </si>
  <si>
    <t>Chaves</t>
  </si>
  <si>
    <t>Representa uma fórmula de matriz (uma fórmula que produz um resultado de matriz)</t>
  </si>
  <si>
    <t>{=SOMA( ABS(A2:A26))}</t>
  </si>
  <si>
    <t>[ ]</t>
  </si>
  <si>
    <t>Colchetes</t>
  </si>
  <si>
    <t>Torna-se uma mídia para inserir um nome de campo de uma tabela</t>
  </si>
  <si>
    <t>SOMA(C2:C26)</t>
  </si>
  <si>
    <t>SOMA(1;3;8)</t>
  </si>
  <si>
    <t>SOMA(A2:C2)</t>
  </si>
  <si>
    <t>SE( A2&gt;70, "Aprovado", ”Reprovado” )</t>
  </si>
  <si>
    <t>SOMA(Planilha1!A2:C2)</t>
  </si>
  <si>
    <t>Folha1!A1+A2</t>
  </si>
  <si>
    <t>SOMA(Dados de Vendas [Quantidade])</t>
  </si>
  <si>
    <t>$B$1+A6</t>
  </si>
  <si>
    <t>2+3</t>
  </si>
  <si>
    <t>CONT.SE(A2:A101, ”Jim*” )</t>
  </si>
  <si>
    <t>"=10/2"</t>
  </si>
  <si>
    <t>"3^2"</t>
  </si>
  <si>
    <t>"100*10%"</t>
  </si>
  <si>
    <t>"=A1"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</si>
</sst>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R$&quot;\ * #,##0_-;\-&quot;R$&quot;\ * #,##0_-;_-&quot;R$&quot;\ * &quot;-&quot;_-;_-@_-"/>
    <numFmt numFmtId="44" formatCode="_-&quot;R$&quot;\ * #,##0.00_-;\-&quot;R$&quot;\ * #,##0.00_-;_-&quot;R$&quot;\ * &quot;-&quot;??_-;_-@_-"/>
    <numFmt numFmtId="43" formatCode="_-* #,##0.00_-;\-* #,##0.00_-;_-* &quot;-&quot;??_-;_-@_-"/>
    <numFmt numFmtId="164" formatCode="0.0"/>
    <numFmt numFmtId="165" formatCode="_(&quot;R$ &quot;* #,##0.00_);_(&quot;R$ &quot;* \(#,##0.00\);_(&quot;R$ &quot;* &quot;-&quot;??_);_(@_)"/>
    <numFmt numFmtId="166" formatCode="&quot;R$ &quot;#,##0.000"/>
    <numFmt numFmtId="167" formatCode="_-&quot;R$&quot;\ * #,##0.000_-;\-&quot;R$&quot;\ * #,##0.000_-;_-&quot;R$&quot;\ * &quot;-&quot;???_-;_-@_-"/>
    <numFmt numFmtId="168" formatCode="0.000"/>
    <numFmt numFmtId="169" formatCode="_-* #,##0_-;\-* #,##0_-;_-* &quot;-&quot;??_-;_-@_-"/>
  </numFmts>
  <fonts count="46">
    <font>
      <sz val="11"/>
      <color theme="1"/>
      <name val="Calibri"/>
      <family val="2"/>
      <scheme val="minor"/>
    </font>
    <font>
      <sz val="10"/>
      <name val="Arial"/>
      <family val="2"/>
    </font>
    <font>
      <b/>
      <sz val="14"/>
      <name val="Bookman Old Style"/>
      <family val="1"/>
    </font>
    <font>
      <b/>
      <sz val="14"/>
      <color theme="1"/>
      <name val="Arial"/>
      <family val="2"/>
    </font>
    <font>
      <sz val="12"/>
      <name val="Arial"/>
      <family val="2"/>
    </font>
    <font>
      <sz val="14"/>
      <name val="Arial"/>
      <family val="2"/>
    </font>
    <font>
      <sz val="11"/>
      <name val="Arial"/>
      <family val="2"/>
    </font>
    <font>
      <sz val="14"/>
      <color theme="1"/>
      <name val="Calibri"/>
      <family val="2"/>
      <scheme val="minor"/>
    </font>
    <font>
      <sz val="14"/>
      <color rgb="FF92D050"/>
      <name val="Calibri"/>
      <family val="2"/>
      <scheme val="minor"/>
    </font>
    <font>
      <sz val="14"/>
      <color rgb="FFFFFF00"/>
      <name val="Calibri"/>
      <family val="2"/>
      <scheme val="minor"/>
    </font>
    <font>
      <sz val="14"/>
      <color rgb="FFC00000"/>
      <name val="Calibri"/>
      <family val="2"/>
      <scheme val="minor"/>
    </font>
    <font>
      <b/>
      <sz val="14"/>
      <name val="Arial"/>
      <family val="2"/>
    </font>
    <font>
      <sz val="12"/>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8"/>
      <color theme="1"/>
      <name val="Calibri"/>
      <family val="2"/>
      <scheme val="minor"/>
    </font>
    <font>
      <b/>
      <sz val="11"/>
      <color rgb="FFFF0000"/>
      <name val="Calibri"/>
      <family val="2"/>
      <scheme val="minor"/>
    </font>
    <font>
      <b/>
      <sz val="10"/>
      <name val="Verdana"/>
      <family val="2"/>
    </font>
    <font>
      <sz val="10"/>
      <name val="Verdana"/>
      <family val="2"/>
    </font>
    <font>
      <b/>
      <sz val="10"/>
      <name val="Arial"/>
      <family val="2"/>
    </font>
    <font>
      <b/>
      <sz val="10"/>
      <color indexed="10"/>
      <name val="Arial"/>
      <family val="2"/>
    </font>
    <font>
      <b/>
      <sz val="14"/>
      <name val="Calibri"/>
      <family val="2"/>
      <scheme val="minor"/>
    </font>
    <font>
      <sz val="10"/>
      <color theme="1"/>
      <name val="Arial"/>
      <family val="2"/>
    </font>
    <font>
      <sz val="11.5"/>
      <color theme="1"/>
      <name val="Times New Roman"/>
      <family val="1"/>
    </font>
    <font>
      <b/>
      <sz val="10"/>
      <color theme="1"/>
      <name val="Arial"/>
      <family val="2"/>
    </font>
    <font>
      <sz val="16"/>
      <color theme="1"/>
      <name val="Arial Black"/>
      <family val="2"/>
    </font>
    <font>
      <sz val="9"/>
      <color theme="1"/>
      <name val="Calibri"/>
      <family val="2"/>
      <scheme val="minor"/>
    </font>
    <font>
      <b/>
      <sz val="9"/>
      <color theme="1"/>
      <name val="Calibri"/>
      <family val="2"/>
      <scheme val="minor"/>
    </font>
    <font>
      <b/>
      <sz val="11"/>
      <name val="Verdana"/>
      <family val="2"/>
    </font>
    <font>
      <sz val="10"/>
      <color theme="0"/>
      <name val="Verdana"/>
      <family val="2"/>
    </font>
    <font>
      <b/>
      <sz val="10"/>
      <color indexed="8"/>
      <name val="Verdana"/>
      <family val="2"/>
    </font>
    <font>
      <i/>
      <sz val="10"/>
      <name val="Verdana"/>
      <family val="2"/>
    </font>
    <font>
      <b/>
      <sz val="10"/>
      <name val="Wingdings"/>
      <charset val="2"/>
    </font>
    <font>
      <sz val="9"/>
      <name val="Verdana"/>
      <family val="2"/>
    </font>
    <font>
      <i/>
      <sz val="10"/>
      <name val="Frutiger LT 45 Light"/>
      <family val="2"/>
    </font>
    <font>
      <b/>
      <sz val="12"/>
      <name val="Trebuchet MS"/>
      <family val="2"/>
    </font>
    <font>
      <sz val="10"/>
      <name val="Frutiger LT 45 Light"/>
      <family val="2"/>
    </font>
    <font>
      <i/>
      <sz val="11"/>
      <name val="Trebuchet MS"/>
      <family val="2"/>
    </font>
    <font>
      <b/>
      <sz val="11"/>
      <name val="Trebuchet MS"/>
      <family val="2"/>
    </font>
    <font>
      <b/>
      <sz val="12"/>
      <name val="Georgia"/>
      <family val="1"/>
    </font>
    <font>
      <sz val="12"/>
      <color theme="0"/>
      <name val="Calibri"/>
      <family val="2"/>
      <scheme val="minor"/>
    </font>
    <font>
      <b/>
      <sz val="18"/>
      <color theme="1"/>
      <name val="System-ui"/>
    </font>
    <font>
      <b/>
      <sz val="11"/>
      <color rgb="FFFFFFFF"/>
      <name val="Calibri"/>
      <family val="2"/>
      <scheme val="minor"/>
    </font>
    <font>
      <sz val="16"/>
      <color rgb="FF333333"/>
      <name val="Calibri"/>
      <family val="2"/>
      <scheme val="minor"/>
    </font>
    <font>
      <sz val="11"/>
      <color rgb="FF333333"/>
      <name val="Arial"/>
      <family val="2"/>
    </font>
  </fonts>
  <fills count="27">
    <fill>
      <patternFill patternType="none"/>
    </fill>
    <fill>
      <patternFill patternType="gray125"/>
    </fill>
    <fill>
      <patternFill patternType="solid">
        <fgColor rgb="FF00B0F0"/>
        <bgColor indexed="64"/>
      </patternFill>
    </fill>
    <fill>
      <patternFill patternType="solid">
        <fgColor theme="0" tint="-0.34998626667073579"/>
        <bgColor indexed="64"/>
      </patternFill>
    </fill>
    <fill>
      <patternFill patternType="solid">
        <fgColor rgb="FF0070C0"/>
        <bgColor indexed="64"/>
      </patternFill>
    </fill>
    <fill>
      <patternFill patternType="solid">
        <fgColor theme="7" tint="0.5999938962981048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indexed="9"/>
        <bgColor indexed="64"/>
      </patternFill>
    </fill>
    <fill>
      <patternFill patternType="lightUp">
        <fgColor indexed="42"/>
        <bgColor indexed="9"/>
      </patternFill>
    </fill>
    <fill>
      <patternFill patternType="lightUp">
        <fgColor indexed="34"/>
        <bgColor indexed="42"/>
      </patternFill>
    </fill>
    <fill>
      <patternFill patternType="solid">
        <fgColor theme="1"/>
        <bgColor indexed="64"/>
      </patternFill>
    </fill>
    <fill>
      <patternFill patternType="solid">
        <fgColor rgb="FF459BE6"/>
        <bgColor indexed="64"/>
      </patternFill>
    </fill>
    <fill>
      <patternFill patternType="solid">
        <fgColor rgb="FFF0F0F0"/>
        <bgColor indexed="64"/>
      </patternFill>
    </fill>
    <fill>
      <patternFill patternType="solid">
        <fgColor rgb="FFFFFFFF"/>
        <bgColor indexed="64"/>
      </patternFill>
    </fill>
    <fill>
      <patternFill patternType="solid">
        <fgColor rgb="FFF7F7F7"/>
        <bgColor indexed="64"/>
      </patternFill>
    </fill>
  </fills>
  <borders count="62">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17"/>
      </left>
      <right style="medium">
        <color indexed="57"/>
      </right>
      <top/>
      <bottom style="medium">
        <color indexed="57"/>
      </bottom>
      <diagonal/>
    </border>
    <border>
      <left style="medium">
        <color indexed="57"/>
      </left>
      <right/>
      <top/>
      <bottom style="medium">
        <color indexed="57"/>
      </bottom>
      <diagonal/>
    </border>
    <border>
      <left style="medium">
        <color indexed="17"/>
      </left>
      <right/>
      <top/>
      <bottom/>
      <diagonal/>
    </border>
    <border>
      <left style="medium">
        <color indexed="57"/>
      </left>
      <right style="medium">
        <color indexed="17"/>
      </right>
      <top style="medium">
        <color indexed="57"/>
      </top>
      <bottom style="medium">
        <color indexed="17"/>
      </bottom>
      <diagonal/>
    </border>
    <border>
      <left style="medium">
        <color indexed="57"/>
      </left>
      <right style="medium">
        <color indexed="57"/>
      </right>
      <top style="medium">
        <color indexed="57"/>
      </top>
      <bottom style="medium">
        <color indexed="17"/>
      </bottom>
      <diagonal/>
    </border>
    <border>
      <left style="dashed">
        <color indexed="17"/>
      </left>
      <right style="medium">
        <color indexed="17"/>
      </right>
      <top style="dashed">
        <color indexed="17"/>
      </top>
      <bottom style="medium">
        <color indexed="17"/>
      </bottom>
      <diagonal/>
    </border>
    <border>
      <left style="dashed">
        <color indexed="17"/>
      </left>
      <right style="dashed">
        <color indexed="17"/>
      </right>
      <top style="dashed">
        <color indexed="17"/>
      </top>
      <bottom style="medium">
        <color indexed="17"/>
      </bottom>
      <diagonal/>
    </border>
    <border>
      <left style="medium">
        <color indexed="17"/>
      </left>
      <right style="dashed">
        <color indexed="17"/>
      </right>
      <top style="dashed">
        <color indexed="17"/>
      </top>
      <bottom style="medium">
        <color indexed="17"/>
      </bottom>
      <diagonal/>
    </border>
    <border>
      <left style="dashed">
        <color indexed="17"/>
      </left>
      <right style="medium">
        <color indexed="17"/>
      </right>
      <top style="dashed">
        <color indexed="17"/>
      </top>
      <bottom style="dashed">
        <color indexed="17"/>
      </bottom>
      <diagonal/>
    </border>
    <border>
      <left style="dashed">
        <color indexed="17"/>
      </left>
      <right style="dashed">
        <color indexed="17"/>
      </right>
      <top style="dashed">
        <color indexed="17"/>
      </top>
      <bottom style="dashed">
        <color indexed="17"/>
      </bottom>
      <diagonal/>
    </border>
    <border>
      <left style="medium">
        <color indexed="17"/>
      </left>
      <right style="dashed">
        <color indexed="17"/>
      </right>
      <top style="dashed">
        <color indexed="17"/>
      </top>
      <bottom style="dashed">
        <color indexed="17"/>
      </bottom>
      <diagonal/>
    </border>
    <border>
      <left style="dashed">
        <color indexed="17"/>
      </left>
      <right style="medium">
        <color indexed="17"/>
      </right>
      <top/>
      <bottom style="dashed">
        <color indexed="17"/>
      </bottom>
      <diagonal/>
    </border>
    <border>
      <left style="dashed">
        <color indexed="17"/>
      </left>
      <right style="dashed">
        <color indexed="17"/>
      </right>
      <top/>
      <bottom style="dashed">
        <color indexed="17"/>
      </bottom>
      <diagonal/>
    </border>
    <border>
      <left style="medium">
        <color indexed="17"/>
      </left>
      <right style="dashed">
        <color indexed="17"/>
      </right>
      <top/>
      <bottom style="dashed">
        <color indexed="17"/>
      </bottom>
      <diagonal/>
    </border>
    <border>
      <left style="thin">
        <color indexed="17"/>
      </left>
      <right style="medium">
        <color indexed="17"/>
      </right>
      <top style="thin">
        <color indexed="17"/>
      </top>
      <bottom style="thin">
        <color indexed="17"/>
      </bottom>
      <diagonal/>
    </border>
    <border>
      <left style="thin">
        <color indexed="17"/>
      </left>
      <right style="thin">
        <color indexed="17"/>
      </right>
      <top style="thin">
        <color indexed="17"/>
      </top>
      <bottom style="thin">
        <color indexed="17"/>
      </bottom>
      <diagonal/>
    </border>
    <border>
      <left style="medium">
        <color indexed="17"/>
      </left>
      <right style="thin">
        <color indexed="17"/>
      </right>
      <top style="thin">
        <color indexed="17"/>
      </top>
      <bottom style="thin">
        <color indexed="17"/>
      </bottom>
      <diagonal/>
    </border>
    <border>
      <left style="dashed">
        <color indexed="17"/>
      </left>
      <right style="medium">
        <color indexed="17"/>
      </right>
      <top style="medium">
        <color indexed="64"/>
      </top>
      <bottom/>
      <diagonal/>
    </border>
    <border>
      <left style="dashed">
        <color indexed="17"/>
      </left>
      <right style="dashed">
        <color indexed="17"/>
      </right>
      <top style="medium">
        <color indexed="64"/>
      </top>
      <bottom/>
      <diagonal/>
    </border>
    <border>
      <left style="medium">
        <color indexed="17"/>
      </left>
      <right style="dashed">
        <color indexed="17"/>
      </right>
      <top style="medium">
        <color indexed="64"/>
      </top>
      <bottom/>
      <diagonal/>
    </border>
    <border>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medium">
        <color rgb="FFE4E4E4"/>
      </left>
      <right style="medium">
        <color rgb="FFE4E4E4"/>
      </right>
      <top style="medium">
        <color rgb="FFE4E4E4"/>
      </top>
      <bottom style="medium">
        <color rgb="FFE4E4E4"/>
      </bottom>
      <diagonal/>
    </border>
    <border>
      <left style="medium">
        <color rgb="FFE4E4E4"/>
      </left>
      <right style="medium">
        <color rgb="FFE4E4E4"/>
      </right>
      <top style="medium">
        <color rgb="FFE4E4E4"/>
      </top>
      <bottom/>
      <diagonal/>
    </border>
    <border>
      <left style="medium">
        <color rgb="FFE4E4E4"/>
      </left>
      <right style="medium">
        <color rgb="FFE4E4E4"/>
      </right>
      <top/>
      <bottom/>
      <diagonal/>
    </border>
    <border>
      <left style="medium">
        <color rgb="FFE4E4E4"/>
      </left>
      <right style="medium">
        <color rgb="FFE4E4E4"/>
      </right>
      <top/>
      <bottom style="medium">
        <color rgb="FFE4E4E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s>
  <cellStyleXfs count="7">
    <xf numFmtId="0" fontId="0"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9" fontId="13" fillId="0" borderId="0" applyFont="0" applyFill="0" applyBorder="0" applyAlignment="0" applyProtection="0"/>
  </cellStyleXfs>
  <cellXfs count="219">
    <xf numFmtId="0" fontId="0" fillId="0" borderId="0" xfId="0"/>
    <xf numFmtId="0" fontId="2" fillId="0" borderId="0" xfId="1" applyFont="1"/>
    <xf numFmtId="0" fontId="1" fillId="0" borderId="0" xfId="1"/>
    <xf numFmtId="0" fontId="3" fillId="2" borderId="2" xfId="1" applyFont="1" applyFill="1" applyBorder="1" applyAlignment="1">
      <alignment horizontal="center"/>
    </xf>
    <xf numFmtId="0" fontId="4" fillId="0" borderId="2" xfId="1" applyFont="1" applyBorder="1" applyAlignment="1">
      <alignment horizontal="center"/>
    </xf>
    <xf numFmtId="0" fontId="5" fillId="0" borderId="2" xfId="1" applyFont="1" applyBorder="1"/>
    <xf numFmtId="1" fontId="5" fillId="0" borderId="2" xfId="1" applyNumberFormat="1" applyFont="1" applyBorder="1"/>
    <xf numFmtId="0" fontId="6" fillId="0" borderId="0" xfId="1" applyFont="1"/>
    <xf numFmtId="0" fontId="7" fillId="3" borderId="1" xfId="0" applyFont="1" applyFill="1" applyBorder="1" applyAlignment="1">
      <alignment horizontal="center"/>
    </xf>
    <xf numFmtId="0" fontId="7" fillId="0" borderId="3" xfId="0" applyFont="1" applyBorder="1" applyAlignment="1">
      <alignment horizontal="center"/>
    </xf>
    <xf numFmtId="164" fontId="7" fillId="0" borderId="4" xfId="0" applyNumberFormat="1" applyFont="1" applyBorder="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2" xfId="0" applyFont="1" applyBorder="1" applyAlignment="1">
      <alignment horizontal="center"/>
    </xf>
    <xf numFmtId="164" fontId="7" fillId="0" borderId="2" xfId="0" applyNumberFormat="1"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164" fontId="7" fillId="0" borderId="8" xfId="0" applyNumberFormat="1" applyFont="1" applyBorder="1" applyAlignment="1">
      <alignment horizontal="center"/>
    </xf>
    <xf numFmtId="0" fontId="7" fillId="0" borderId="1" xfId="0" applyFont="1" applyBorder="1" applyAlignment="1">
      <alignment horizontal="center"/>
    </xf>
    <xf numFmtId="164" fontId="7" fillId="0" borderId="1" xfId="0" applyNumberFormat="1" applyFont="1" applyBorder="1" applyAlignment="1">
      <alignment horizontal="center"/>
    </xf>
    <xf numFmtId="0" fontId="8" fillId="0" borderId="1" xfId="0" applyFont="1" applyBorder="1"/>
    <xf numFmtId="0" fontId="9" fillId="0" borderId="1" xfId="0" applyFont="1" applyBorder="1"/>
    <xf numFmtId="0" fontId="10" fillId="0" borderId="1" xfId="0" applyFont="1" applyBorder="1"/>
    <xf numFmtId="0" fontId="11" fillId="2" borderId="2" xfId="1" applyFont="1" applyFill="1" applyBorder="1" applyAlignment="1">
      <alignment horizontal="center" vertical="center"/>
    </xf>
    <xf numFmtId="165" fontId="12" fillId="0" borderId="2" xfId="2" applyFont="1" applyBorder="1"/>
    <xf numFmtId="9" fontId="12" fillId="0" borderId="2" xfId="3" applyFont="1" applyBorder="1" applyAlignment="1">
      <alignment horizontal="center"/>
    </xf>
    <xf numFmtId="43" fontId="4" fillId="0" borderId="2" xfId="1" applyNumberFormat="1" applyFont="1" applyBorder="1"/>
    <xf numFmtId="0" fontId="11" fillId="2" borderId="2" xfId="1" applyFont="1" applyFill="1" applyBorder="1" applyAlignment="1">
      <alignment horizontal="center" vertical="center" wrapText="1"/>
    </xf>
    <xf numFmtId="0" fontId="4" fillId="0" borderId="8" xfId="1" applyFont="1" applyBorder="1" applyAlignment="1">
      <alignment horizontal="center"/>
    </xf>
    <xf numFmtId="9" fontId="4" fillId="0" borderId="8" xfId="1" applyNumberFormat="1" applyFont="1" applyBorder="1" applyAlignment="1">
      <alignment horizontal="center"/>
    </xf>
    <xf numFmtId="0" fontId="0" fillId="0" borderId="11" xfId="0" applyBorder="1"/>
    <xf numFmtId="0" fontId="0" fillId="0" borderId="2" xfId="0" applyBorder="1"/>
    <xf numFmtId="0" fontId="0" fillId="0" borderId="0" xfId="0" applyAlignment="1">
      <alignment horizontal="center"/>
    </xf>
    <xf numFmtId="0" fontId="0" fillId="0" borderId="2" xfId="0" applyBorder="1" applyAlignment="1">
      <alignment horizontal="center"/>
    </xf>
    <xf numFmtId="2" fontId="0" fillId="0" borderId="2" xfId="0" applyNumberFormat="1" applyBorder="1" applyAlignment="1">
      <alignment horizontal="center"/>
    </xf>
    <xf numFmtId="0" fontId="15" fillId="4" borderId="2" xfId="0" applyFont="1" applyFill="1" applyBorder="1" applyAlignment="1">
      <alignment horizontal="center"/>
    </xf>
    <xf numFmtId="164" fontId="0" fillId="0" borderId="2" xfId="0" applyNumberFormat="1" applyBorder="1" applyAlignment="1">
      <alignment horizontal="center"/>
    </xf>
    <xf numFmtId="164" fontId="0" fillId="0" borderId="2" xfId="0" applyNumberFormat="1" applyBorder="1"/>
    <xf numFmtId="0" fontId="0" fillId="5" borderId="2" xfId="0" applyFill="1" applyBorder="1"/>
    <xf numFmtId="0" fontId="14" fillId="6" borderId="2" xfId="0" applyFont="1" applyFill="1" applyBorder="1" applyAlignment="1">
      <alignment horizontal="center"/>
    </xf>
    <xf numFmtId="44" fontId="0" fillId="0" borderId="0" xfId="0" applyNumberFormat="1"/>
    <xf numFmtId="0" fontId="14" fillId="0" borderId="2" xfId="0" applyFont="1" applyBorder="1" applyAlignment="1">
      <alignment horizontal="center"/>
    </xf>
    <xf numFmtId="44" fontId="14" fillId="0" borderId="2" xfId="5" applyFont="1" applyBorder="1" applyAlignment="1">
      <alignment horizontal="center"/>
    </xf>
    <xf numFmtId="0" fontId="14" fillId="9" borderId="2" xfId="0" applyFont="1" applyFill="1" applyBorder="1"/>
    <xf numFmtId="0" fontId="18" fillId="10" borderId="2" xfId="0" applyFont="1" applyFill="1" applyBorder="1" applyAlignment="1">
      <alignment horizontal="center"/>
    </xf>
    <xf numFmtId="14" fontId="19" fillId="11" borderId="2" xfId="0" applyNumberFormat="1" applyFont="1" applyFill="1" applyBorder="1"/>
    <xf numFmtId="0" fontId="19" fillId="11" borderId="2" xfId="0" applyFont="1" applyFill="1" applyBorder="1" applyAlignment="1">
      <alignment horizontal="center"/>
    </xf>
    <xf numFmtId="166" fontId="19" fillId="11" borderId="2" xfId="0" applyNumberFormat="1" applyFont="1" applyFill="1" applyBorder="1" applyAlignment="1">
      <alignment horizontal="center"/>
    </xf>
    <xf numFmtId="14" fontId="19" fillId="0" borderId="2" xfId="0" applyNumberFormat="1" applyFont="1" applyBorder="1"/>
    <xf numFmtId="0" fontId="19" fillId="0" borderId="2" xfId="0" applyFont="1" applyBorder="1" applyAlignment="1">
      <alignment horizontal="center"/>
    </xf>
    <xf numFmtId="166" fontId="19" fillId="0" borderId="2" xfId="0" applyNumberFormat="1" applyFont="1" applyBorder="1" applyAlignment="1">
      <alignment horizontal="center"/>
    </xf>
    <xf numFmtId="167" fontId="20" fillId="6" borderId="2" xfId="0" applyNumberFormat="1" applyFont="1" applyFill="1" applyBorder="1" applyAlignment="1">
      <alignment horizontal="center"/>
    </xf>
    <xf numFmtId="0" fontId="1" fillId="0" borderId="0" xfId="0" applyFont="1"/>
    <xf numFmtId="44" fontId="21" fillId="0" borderId="1" xfId="5" applyFont="1" applyBorder="1"/>
    <xf numFmtId="168" fontId="0" fillId="0" borderId="0" xfId="0" applyNumberFormat="1"/>
    <xf numFmtId="0" fontId="22" fillId="2" borderId="2" xfId="0" applyFont="1" applyFill="1" applyBorder="1" applyAlignment="1">
      <alignment horizontal="center"/>
    </xf>
    <xf numFmtId="0" fontId="22" fillId="2" borderId="2" xfId="0" applyFont="1" applyFill="1" applyBorder="1"/>
    <xf numFmtId="0" fontId="7" fillId="0" borderId="2" xfId="0" applyFont="1" applyBorder="1"/>
    <xf numFmtId="2" fontId="7" fillId="0" borderId="2" xfId="0" applyNumberFormat="1" applyFont="1" applyBorder="1"/>
    <xf numFmtId="43" fontId="0" fillId="0" borderId="0" xfId="4" applyFont="1"/>
    <xf numFmtId="43" fontId="0" fillId="0" borderId="2" xfId="4" applyFont="1" applyBorder="1"/>
    <xf numFmtId="0" fontId="22" fillId="2" borderId="13" xfId="0" applyFont="1" applyFill="1" applyBorder="1"/>
    <xf numFmtId="0" fontId="14" fillId="12" borderId="14" xfId="0" applyFont="1" applyFill="1" applyBorder="1" applyAlignment="1">
      <alignment horizontal="center"/>
    </xf>
    <xf numFmtId="0" fontId="14" fillId="12" borderId="1" xfId="0" applyFont="1" applyFill="1" applyBorder="1" applyAlignment="1">
      <alignment horizontal="center"/>
    </xf>
    <xf numFmtId="0" fontId="14" fillId="12" borderId="15" xfId="0" applyFont="1" applyFill="1" applyBorder="1" applyAlignment="1">
      <alignment horizontal="center"/>
    </xf>
    <xf numFmtId="0" fontId="0" fillId="0" borderId="4" xfId="0" applyBorder="1"/>
    <xf numFmtId="169" fontId="0" fillId="0" borderId="4" xfId="4" applyNumberFormat="1" applyFont="1" applyBorder="1"/>
    <xf numFmtId="169" fontId="0" fillId="0" borderId="2" xfId="4" applyNumberFormat="1" applyFont="1" applyBorder="1"/>
    <xf numFmtId="0" fontId="14" fillId="13" borderId="2" xfId="0" applyFont="1" applyFill="1" applyBorder="1" applyAlignment="1">
      <alignment horizontal="center"/>
    </xf>
    <xf numFmtId="0" fontId="14" fillId="13" borderId="2" xfId="0" applyFont="1" applyFill="1" applyBorder="1"/>
    <xf numFmtId="0" fontId="14" fillId="0" borderId="0" xfId="0" applyFont="1"/>
    <xf numFmtId="0" fontId="23" fillId="0" borderId="16" xfId="0" applyFont="1" applyBorder="1" applyAlignment="1">
      <alignment vertical="center"/>
    </xf>
    <xf numFmtId="0" fontId="24" fillId="0" borderId="16" xfId="0" applyFont="1" applyBorder="1" applyAlignment="1">
      <alignment horizontal="right" vertical="center"/>
    </xf>
    <xf numFmtId="0" fontId="23" fillId="0" borderId="17" xfId="0" applyFont="1" applyBorder="1" applyAlignment="1">
      <alignment vertical="center"/>
    </xf>
    <xf numFmtId="0" fontId="23" fillId="0" borderId="18" xfId="0" applyFont="1" applyBorder="1" applyAlignment="1">
      <alignment vertical="center"/>
    </xf>
    <xf numFmtId="0" fontId="24" fillId="0" borderId="18" xfId="0" applyFont="1" applyBorder="1" applyAlignment="1">
      <alignment horizontal="right" vertical="center"/>
    </xf>
    <xf numFmtId="0" fontId="25" fillId="0" borderId="17" xfId="0" applyFont="1" applyBorder="1" applyAlignment="1">
      <alignment horizontal="center" vertical="center"/>
    </xf>
    <xf numFmtId="0" fontId="25" fillId="0" borderId="18" xfId="0" applyFont="1" applyBorder="1" applyAlignment="1">
      <alignment horizontal="center" vertical="center"/>
    </xf>
    <xf numFmtId="9" fontId="0" fillId="0" borderId="2" xfId="0" applyNumberFormat="1" applyBorder="1" applyAlignment="1">
      <alignment vertical="center"/>
    </xf>
    <xf numFmtId="44" fontId="0" fillId="0" borderId="2" xfId="5" applyFont="1" applyBorder="1" applyAlignment="1">
      <alignment vertical="center"/>
    </xf>
    <xf numFmtId="0" fontId="0" fillId="0" borderId="0" xfId="0" applyAlignment="1">
      <alignment vertical="center"/>
    </xf>
    <xf numFmtId="9" fontId="0" fillId="0" borderId="2" xfId="5" applyNumberFormat="1" applyFont="1" applyBorder="1" applyAlignment="1">
      <alignment horizontal="center" vertical="center"/>
    </xf>
    <xf numFmtId="0" fontId="27" fillId="15" borderId="2" xfId="0" applyFont="1" applyFill="1" applyBorder="1" applyAlignment="1">
      <alignment vertical="center"/>
    </xf>
    <xf numFmtId="0" fontId="14" fillId="16" borderId="2" xfId="0" applyFont="1" applyFill="1" applyBorder="1" applyAlignment="1">
      <alignment horizontal="center" vertical="center" wrapText="1"/>
    </xf>
    <xf numFmtId="0" fontId="0" fillId="0" borderId="0" xfId="0" applyAlignment="1">
      <alignment vertical="center" wrapText="1"/>
    </xf>
    <xf numFmtId="44" fontId="0" fillId="0" borderId="2" xfId="0" applyNumberFormat="1" applyBorder="1"/>
    <xf numFmtId="10" fontId="28" fillId="0" borderId="2" xfId="0" applyNumberFormat="1" applyFont="1" applyBorder="1" applyAlignment="1">
      <alignment horizontal="center" vertical="center"/>
    </xf>
    <xf numFmtId="44" fontId="28" fillId="0" borderId="9" xfId="0" applyNumberFormat="1" applyFont="1" applyBorder="1" applyAlignment="1">
      <alignment vertical="center"/>
    </xf>
    <xf numFmtId="9" fontId="28" fillId="0" borderId="2" xfId="6" applyFont="1" applyBorder="1" applyAlignment="1">
      <alignment horizontal="center" vertical="center"/>
    </xf>
    <xf numFmtId="44" fontId="28" fillId="0" borderId="10" xfId="0" applyNumberFormat="1" applyFont="1" applyBorder="1" applyAlignment="1">
      <alignment horizontal="center" vertical="center"/>
    </xf>
    <xf numFmtId="9" fontId="28" fillId="0" borderId="2" xfId="0" applyNumberFormat="1" applyFont="1" applyBorder="1" applyAlignment="1">
      <alignment horizontal="center" vertical="center"/>
    </xf>
    <xf numFmtId="44" fontId="28" fillId="0" borderId="2" xfId="0" applyNumberFormat="1" applyFont="1" applyBorder="1" applyAlignment="1">
      <alignment vertical="center"/>
    </xf>
    <xf numFmtId="9" fontId="28" fillId="0" borderId="4" xfId="6" applyFont="1" applyBorder="1" applyAlignment="1">
      <alignment horizontal="center" vertical="center"/>
    </xf>
    <xf numFmtId="44" fontId="28" fillId="0" borderId="19" xfId="0" applyNumberFormat="1" applyFont="1" applyBorder="1" applyAlignment="1">
      <alignment horizontal="center" vertical="center"/>
    </xf>
    <xf numFmtId="0" fontId="28" fillId="17" borderId="2" xfId="0" applyFont="1" applyFill="1" applyBorder="1" applyAlignment="1">
      <alignment horizontal="center" vertical="center" wrapText="1"/>
    </xf>
    <xf numFmtId="0" fontId="19" fillId="18" borderId="18" xfId="0" applyFont="1" applyFill="1" applyBorder="1"/>
    <xf numFmtId="0" fontId="19" fillId="18" borderId="17" xfId="0" applyFont="1" applyFill="1" applyBorder="1"/>
    <xf numFmtId="0" fontId="19" fillId="18" borderId="28" xfId="0" applyFont="1" applyFill="1" applyBorder="1"/>
    <xf numFmtId="0" fontId="19" fillId="19" borderId="16" xfId="0" applyFont="1" applyFill="1" applyBorder="1"/>
    <xf numFmtId="0" fontId="19" fillId="19" borderId="0" xfId="0" applyFont="1" applyFill="1"/>
    <xf numFmtId="37" fontId="29" fillId="20" borderId="30" xfId="5" applyNumberFormat="1" applyFont="1" applyFill="1" applyBorder="1" applyAlignment="1">
      <alignment vertical="center" wrapText="1"/>
    </xf>
    <xf numFmtId="0" fontId="30" fillId="19" borderId="27" xfId="0" applyFont="1" applyFill="1" applyBorder="1"/>
    <xf numFmtId="14" fontId="32" fillId="19" borderId="0" xfId="0" applyNumberFormat="1" applyFont="1" applyFill="1" applyAlignment="1">
      <alignment horizontal="center" vertical="center" wrapText="1"/>
    </xf>
    <xf numFmtId="0" fontId="33" fillId="19" borderId="0" xfId="0" applyFont="1" applyFill="1" applyAlignment="1">
      <alignment horizontal="center" vertical="center"/>
    </xf>
    <xf numFmtId="0" fontId="19" fillId="19" borderId="31" xfId="0" applyFont="1" applyFill="1" applyBorder="1"/>
    <xf numFmtId="0" fontId="29" fillId="20" borderId="32" xfId="0" applyFont="1" applyFill="1" applyBorder="1" applyAlignment="1">
      <alignment horizontal="center" vertical="center" wrapText="1"/>
    </xf>
    <xf numFmtId="0" fontId="29" fillId="20" borderId="33" xfId="0" applyFont="1" applyFill="1" applyBorder="1" applyAlignment="1">
      <alignment wrapText="1"/>
    </xf>
    <xf numFmtId="0" fontId="19" fillId="19" borderId="27" xfId="0" applyFont="1" applyFill="1" applyBorder="1"/>
    <xf numFmtId="44" fontId="34" fillId="19" borderId="0" xfId="5" applyFont="1" applyFill="1" applyBorder="1"/>
    <xf numFmtId="0" fontId="34" fillId="19" borderId="0" xfId="0" applyFont="1" applyFill="1"/>
    <xf numFmtId="14" fontId="34" fillId="19" borderId="0" xfId="0" applyNumberFormat="1" applyFont="1" applyFill="1" applyAlignment="1">
      <alignment horizontal="right"/>
    </xf>
    <xf numFmtId="0" fontId="36" fillId="19" borderId="36" xfId="0" applyFont="1" applyFill="1" applyBorder="1" applyAlignment="1">
      <alignment horizontal="center"/>
    </xf>
    <xf numFmtId="0" fontId="38" fillId="19" borderId="39" xfId="0" applyFont="1" applyFill="1" applyBorder="1" applyAlignment="1">
      <alignment horizontal="left"/>
    </xf>
    <xf numFmtId="0" fontId="38" fillId="19" borderId="42" xfId="0" applyFont="1" applyFill="1" applyBorder="1" applyAlignment="1">
      <alignment horizontal="left"/>
    </xf>
    <xf numFmtId="0" fontId="38" fillId="19" borderId="43" xfId="0" applyFont="1" applyFill="1" applyBorder="1" applyAlignment="1">
      <alignment horizontal="center" vertical="center"/>
    </xf>
    <xf numFmtId="0" fontId="38" fillId="19" borderId="44" xfId="0" applyFont="1" applyFill="1" applyBorder="1" applyAlignment="1">
      <alignment horizontal="center" vertical="center"/>
    </xf>
    <xf numFmtId="0" fontId="39" fillId="19" borderId="45" xfId="0" applyFont="1" applyFill="1" applyBorder="1" applyAlignment="1">
      <alignment horizontal="center" vertical="center"/>
    </xf>
    <xf numFmtId="0" fontId="29" fillId="19" borderId="26" xfId="0" applyFont="1" applyFill="1" applyBorder="1"/>
    <xf numFmtId="0" fontId="19" fillId="19" borderId="25" xfId="0" applyFont="1" applyFill="1" applyBorder="1"/>
    <xf numFmtId="0" fontId="0" fillId="18" borderId="2" xfId="0" applyFill="1" applyBorder="1" applyAlignment="1">
      <alignment horizontal="center"/>
    </xf>
    <xf numFmtId="0" fontId="0" fillId="18" borderId="10" xfId="0" applyFill="1" applyBorder="1" applyAlignment="1">
      <alignment horizontal="center"/>
    </xf>
    <xf numFmtId="0" fontId="0" fillId="18" borderId="8" xfId="0" applyFill="1" applyBorder="1" applyAlignment="1">
      <alignment horizontal="center"/>
    </xf>
    <xf numFmtId="0" fontId="0" fillId="18" borderId="20" xfId="0" applyFill="1" applyBorder="1" applyAlignment="1">
      <alignment horizontal="center"/>
    </xf>
    <xf numFmtId="0" fontId="0" fillId="18" borderId="4" xfId="0" applyFill="1" applyBorder="1" applyAlignment="1">
      <alignment horizontal="center"/>
    </xf>
    <xf numFmtId="0" fontId="0" fillId="0" borderId="4" xfId="0" applyBorder="1" applyAlignment="1">
      <alignment horizontal="center"/>
    </xf>
    <xf numFmtId="0" fontId="0" fillId="17" borderId="2" xfId="0" applyFill="1" applyBorder="1" applyAlignment="1">
      <alignment horizontal="center"/>
    </xf>
    <xf numFmtId="44" fontId="0" fillId="0" borderId="4" xfId="5" applyFont="1" applyBorder="1" applyAlignment="1">
      <alignment horizontal="center"/>
    </xf>
    <xf numFmtId="2" fontId="0" fillId="17" borderId="2" xfId="0" applyNumberFormat="1" applyFill="1" applyBorder="1" applyAlignment="1">
      <alignment horizontal="center"/>
    </xf>
    <xf numFmtId="44" fontId="0" fillId="0" borderId="0" xfId="5" applyFont="1"/>
    <xf numFmtId="0" fontId="0" fillId="17" borderId="8" xfId="0" applyFill="1" applyBorder="1" applyAlignment="1">
      <alignment horizontal="center"/>
    </xf>
    <xf numFmtId="2" fontId="0" fillId="17" borderId="8" xfId="0" applyNumberFormat="1" applyFill="1" applyBorder="1" applyAlignment="1">
      <alignment horizontal="center"/>
    </xf>
    <xf numFmtId="0" fontId="0" fillId="17" borderId="4" xfId="0" applyFill="1" applyBorder="1" applyAlignment="1">
      <alignment horizontal="center"/>
    </xf>
    <xf numFmtId="2" fontId="0" fillId="17" borderId="4" xfId="0" applyNumberFormat="1" applyFill="1" applyBorder="1" applyAlignment="1">
      <alignment horizontal="center"/>
    </xf>
    <xf numFmtId="44" fontId="0" fillId="0" borderId="0" xfId="0" applyNumberFormat="1" applyAlignment="1">
      <alignment horizontal="center"/>
    </xf>
    <xf numFmtId="44" fontId="0" fillId="0" borderId="0" xfId="5" applyFont="1" applyAlignment="1">
      <alignment horizontal="center"/>
    </xf>
    <xf numFmtId="0" fontId="15" fillId="22" borderId="0" xfId="0" applyFont="1" applyFill="1" applyAlignment="1">
      <alignment horizontal="center"/>
    </xf>
    <xf numFmtId="42" fontId="29" fillId="20" borderId="29" xfId="5" applyNumberFormat="1" applyFont="1" applyFill="1" applyBorder="1" applyAlignment="1">
      <alignment horizontal="center" vertical="center" wrapText="1"/>
    </xf>
    <xf numFmtId="42" fontId="37" fillId="19" borderId="41" xfId="0" applyNumberFormat="1" applyFont="1" applyFill="1" applyBorder="1" applyAlignment="1">
      <alignment horizontal="center"/>
    </xf>
    <xf numFmtId="42" fontId="37" fillId="19" borderId="40" xfId="0" applyNumberFormat="1" applyFont="1" applyFill="1" applyBorder="1" applyAlignment="1">
      <alignment horizontal="center"/>
    </xf>
    <xf numFmtId="42" fontId="37" fillId="19" borderId="38" xfId="0" applyNumberFormat="1" applyFont="1" applyFill="1" applyBorder="1" applyAlignment="1">
      <alignment horizontal="center"/>
    </xf>
    <xf numFmtId="42" fontId="37" fillId="19" borderId="37" xfId="0" applyNumberFormat="1" applyFont="1" applyFill="1" applyBorder="1" applyAlignment="1">
      <alignment horizontal="center"/>
    </xf>
    <xf numFmtId="42" fontId="35" fillId="19" borderId="35" xfId="0" applyNumberFormat="1" applyFont="1" applyFill="1" applyBorder="1" applyAlignment="1">
      <alignment horizontal="center"/>
    </xf>
    <xf numFmtId="42" fontId="35" fillId="19" borderId="34" xfId="0" applyNumberFormat="1" applyFont="1" applyFill="1" applyBorder="1" applyAlignment="1">
      <alignment horizontal="center"/>
    </xf>
    <xf numFmtId="0" fontId="43" fillId="23" borderId="1" xfId="0" applyFont="1" applyFill="1" applyBorder="1" applyAlignment="1">
      <alignment horizontal="center" vertical="center" wrapText="1"/>
    </xf>
    <xf numFmtId="0" fontId="44" fillId="24" borderId="2" xfId="0" applyFont="1" applyFill="1" applyBorder="1" applyAlignment="1">
      <alignment horizontal="center" vertical="center" wrapText="1"/>
    </xf>
    <xf numFmtId="0" fontId="44" fillId="0" borderId="2" xfId="0" applyFont="1" applyBorder="1" applyAlignment="1">
      <alignment horizontal="center" vertical="center" wrapText="1"/>
    </xf>
    <xf numFmtId="0" fontId="44" fillId="24" borderId="6" xfId="0" applyFont="1" applyFill="1" applyBorder="1" applyAlignment="1">
      <alignment horizontal="center" vertical="center" wrapText="1"/>
    </xf>
    <xf numFmtId="0" fontId="44" fillId="24" borderId="50" xfId="0" applyFont="1" applyFill="1" applyBorder="1" applyAlignment="1">
      <alignment horizontal="center" vertical="center" wrapText="1"/>
    </xf>
    <xf numFmtId="0" fontId="44" fillId="0" borderId="6" xfId="0" applyFont="1" applyBorder="1" applyAlignment="1">
      <alignment horizontal="center" vertical="center" wrapText="1"/>
    </xf>
    <xf numFmtId="0" fontId="44" fillId="0" borderId="50" xfId="0" applyFont="1" applyBorder="1" applyAlignment="1">
      <alignment horizontal="center" vertical="center" wrapText="1"/>
    </xf>
    <xf numFmtId="0" fontId="44" fillId="24" borderId="7" xfId="0" applyFont="1" applyFill="1" applyBorder="1" applyAlignment="1">
      <alignment horizontal="center" vertical="center" wrapText="1"/>
    </xf>
    <xf numFmtId="0" fontId="44" fillId="24" borderId="51" xfId="0" applyFont="1" applyFill="1" applyBorder="1" applyAlignment="1">
      <alignment horizontal="center" vertical="center" wrapText="1"/>
    </xf>
    <xf numFmtId="0" fontId="44" fillId="24" borderId="52" xfId="0" applyFont="1" applyFill="1" applyBorder="1" applyAlignment="1">
      <alignment horizontal="center" vertical="center" wrapText="1"/>
    </xf>
    <xf numFmtId="0" fontId="45" fillId="26" borderId="55" xfId="0" applyFont="1" applyFill="1" applyBorder="1" applyAlignment="1">
      <alignment horizontal="center" vertical="center" wrapText="1"/>
    </xf>
    <xf numFmtId="0" fontId="45" fillId="26" borderId="56" xfId="0" applyFont="1" applyFill="1" applyBorder="1" applyAlignment="1">
      <alignment horizontal="center" vertical="center" wrapText="1"/>
    </xf>
    <xf numFmtId="0" fontId="45" fillId="26" borderId="57" xfId="0" applyFont="1" applyFill="1" applyBorder="1" applyAlignment="1">
      <alignment horizontal="center" vertical="center" wrapText="1"/>
    </xf>
    <xf numFmtId="0" fontId="45" fillId="25" borderId="54" xfId="0" applyFont="1" applyFill="1" applyBorder="1" applyAlignment="1">
      <alignment horizontal="center" vertical="center" wrapText="1"/>
    </xf>
    <xf numFmtId="0" fontId="45" fillId="26" borderId="54" xfId="0" applyFont="1" applyFill="1" applyBorder="1" applyAlignment="1">
      <alignment horizontal="center" vertical="center" wrapText="1"/>
    </xf>
    <xf numFmtId="0" fontId="45" fillId="25" borderId="55" xfId="0" applyFont="1" applyFill="1" applyBorder="1" applyAlignment="1">
      <alignment horizontal="center" vertical="center" wrapText="1"/>
    </xf>
    <xf numFmtId="0" fontId="45" fillId="25" borderId="56" xfId="0" applyFont="1" applyFill="1" applyBorder="1" applyAlignment="1">
      <alignment horizontal="center" vertical="center" wrapText="1"/>
    </xf>
    <xf numFmtId="0" fontId="45" fillId="25" borderId="57" xfId="0" applyFont="1" applyFill="1" applyBorder="1" applyAlignment="1">
      <alignment horizontal="center" vertical="center" wrapText="1"/>
    </xf>
    <xf numFmtId="0" fontId="0" fillId="26" borderId="56" xfId="0" applyFill="1" applyBorder="1" applyAlignment="1">
      <alignment horizontal="center" vertical="center" wrapText="1"/>
    </xf>
    <xf numFmtId="16" fontId="45" fillId="26" borderId="54" xfId="0" applyNumberFormat="1" applyFont="1" applyFill="1" applyBorder="1" applyAlignment="1">
      <alignment horizontal="center" vertical="center" wrapText="1"/>
    </xf>
    <xf numFmtId="0" fontId="44" fillId="24" borderId="4" xfId="0" applyFont="1" applyFill="1" applyBorder="1" applyAlignment="1">
      <alignment horizontal="center" vertical="center" wrapText="1"/>
    </xf>
    <xf numFmtId="0" fontId="44" fillId="24" borderId="58" xfId="0" applyFont="1" applyFill="1" applyBorder="1" applyAlignment="1">
      <alignment horizontal="center" vertical="center" wrapText="1"/>
    </xf>
    <xf numFmtId="0" fontId="44" fillId="24" borderId="59" xfId="0" applyFont="1" applyFill="1" applyBorder="1" applyAlignment="1">
      <alignment horizontal="center" vertical="center" wrapText="1"/>
    </xf>
    <xf numFmtId="0" fontId="23" fillId="0" borderId="18" xfId="0" applyFont="1" applyBorder="1" applyAlignment="1">
      <alignment horizontal="center" vertical="center"/>
    </xf>
    <xf numFmtId="0" fontId="23" fillId="0" borderId="16" xfId="0" applyFont="1" applyBorder="1" applyAlignment="1">
      <alignment horizontal="center" vertical="center"/>
    </xf>
    <xf numFmtId="0" fontId="0" fillId="14" borderId="25" xfId="0" applyFill="1" applyBorder="1"/>
    <xf numFmtId="0" fontId="0" fillId="14" borderId="53" xfId="0" applyFill="1" applyBorder="1"/>
    <xf numFmtId="0" fontId="0" fillId="14" borderId="26" xfId="0" applyFill="1" applyBorder="1"/>
    <xf numFmtId="0" fontId="0" fillId="14" borderId="27" xfId="0" applyFill="1" applyBorder="1"/>
    <xf numFmtId="0" fontId="0" fillId="14" borderId="0" xfId="0" applyFill="1"/>
    <xf numFmtId="0" fontId="0" fillId="14" borderId="16" xfId="0" applyFill="1" applyBorder="1"/>
    <xf numFmtId="0" fontId="0" fillId="14" borderId="28" xfId="0" applyFill="1" applyBorder="1"/>
    <xf numFmtId="0" fontId="0" fillId="14" borderId="17" xfId="0" applyFill="1" applyBorder="1"/>
    <xf numFmtId="0" fontId="0" fillId="14" borderId="18" xfId="0" applyFill="1" applyBorder="1"/>
    <xf numFmtId="0" fontId="11" fillId="2" borderId="9" xfId="1" applyFont="1" applyFill="1" applyBorder="1" applyAlignment="1">
      <alignment horizontal="center" vertical="center"/>
    </xf>
    <xf numFmtId="0" fontId="11" fillId="2" borderId="10" xfId="1" applyFont="1" applyFill="1" applyBorder="1" applyAlignment="1">
      <alignment horizontal="center" vertical="center"/>
    </xf>
    <xf numFmtId="0" fontId="2" fillId="0" borderId="1" xfId="1" applyFont="1" applyBorder="1" applyAlignment="1">
      <alignment horizontal="center"/>
    </xf>
    <xf numFmtId="0" fontId="3" fillId="2" borderId="2" xfId="1" applyFont="1" applyFill="1" applyBorder="1" applyAlignment="1">
      <alignment horizontal="center"/>
    </xf>
    <xf numFmtId="0" fontId="15" fillId="22" borderId="0" xfId="0" applyFont="1" applyFill="1" applyAlignment="1">
      <alignment horizontal="center"/>
    </xf>
    <xf numFmtId="0" fontId="16" fillId="7" borderId="2" xfId="0" applyFont="1" applyFill="1" applyBorder="1" applyAlignment="1">
      <alignment horizontal="center" vertical="center"/>
    </xf>
    <xf numFmtId="0" fontId="14" fillId="9" borderId="2" xfId="0" applyFont="1" applyFill="1" applyBorder="1" applyAlignment="1">
      <alignment horizontal="center"/>
    </xf>
    <xf numFmtId="44" fontId="14" fillId="8" borderId="2" xfId="5" applyFont="1" applyFill="1" applyBorder="1" applyAlignment="1">
      <alignment horizontal="center"/>
    </xf>
    <xf numFmtId="0" fontId="17" fillId="0" borderId="2" xfId="0" applyFont="1" applyBorder="1" applyAlignment="1">
      <alignment horizontal="center" vertical="center" wrapText="1"/>
    </xf>
    <xf numFmtId="0" fontId="26" fillId="0" borderId="24" xfId="0" applyFont="1" applyBorder="1" applyAlignment="1">
      <alignment horizontal="center" vertical="center"/>
    </xf>
    <xf numFmtId="0" fontId="26" fillId="0" borderId="11" xfId="0" applyFont="1" applyBorder="1" applyAlignment="1">
      <alignment horizontal="center" vertical="center"/>
    </xf>
    <xf numFmtId="0" fontId="26" fillId="0" borderId="23" xfId="0" applyFont="1" applyBorder="1" applyAlignment="1">
      <alignment horizontal="center" vertical="center"/>
    </xf>
    <xf numFmtId="0" fontId="26" fillId="0" borderId="22" xfId="0" applyFont="1" applyBorder="1" applyAlignment="1">
      <alignment horizontal="center" vertical="center"/>
    </xf>
    <xf numFmtId="0" fontId="26" fillId="0" borderId="0" xfId="0" applyFont="1" applyAlignment="1">
      <alignment horizontal="center" vertical="center"/>
    </xf>
    <xf numFmtId="0" fontId="26" fillId="0" borderId="21" xfId="0" applyFont="1" applyBorder="1" applyAlignment="1">
      <alignment horizontal="center" vertical="center"/>
    </xf>
    <xf numFmtId="0" fontId="26" fillId="0" borderId="60" xfId="0" applyFont="1" applyBorder="1" applyAlignment="1">
      <alignment horizontal="center" vertical="center"/>
    </xf>
    <xf numFmtId="0" fontId="26" fillId="0" borderId="17" xfId="0" applyFont="1" applyBorder="1" applyAlignment="1">
      <alignment horizontal="center" vertical="center"/>
    </xf>
    <xf numFmtId="0" fontId="26" fillId="0" borderId="61" xfId="0" applyFont="1" applyBorder="1" applyAlignment="1">
      <alignment horizontal="center" vertical="center"/>
    </xf>
    <xf numFmtId="0" fontId="18" fillId="10" borderId="9" xfId="0" applyFont="1" applyFill="1" applyBorder="1" applyAlignment="1">
      <alignment horizontal="center"/>
    </xf>
    <xf numFmtId="0" fontId="18" fillId="10" borderId="12" xfId="0" applyFont="1" applyFill="1" applyBorder="1" applyAlignment="1">
      <alignment horizontal="center"/>
    </xf>
    <xf numFmtId="0" fontId="18" fillId="0" borderId="9" xfId="0" applyFont="1" applyBorder="1" applyAlignment="1">
      <alignment horizontal="center"/>
    </xf>
    <xf numFmtId="0" fontId="18" fillId="0" borderId="12" xfId="0" applyFont="1" applyBorder="1" applyAlignment="1">
      <alignment horizontal="center"/>
    </xf>
    <xf numFmtId="0" fontId="14" fillId="16" borderId="2" xfId="0" applyFont="1" applyFill="1" applyBorder="1" applyAlignment="1">
      <alignment horizontal="center" vertical="center" wrapText="1"/>
    </xf>
    <xf numFmtId="0" fontId="14" fillId="10" borderId="2" xfId="0" applyFont="1" applyFill="1" applyBorder="1" applyAlignment="1">
      <alignment horizontal="center"/>
    </xf>
    <xf numFmtId="0" fontId="14" fillId="10" borderId="10" xfId="0" applyFont="1" applyFill="1" applyBorder="1" applyAlignment="1">
      <alignment horizontal="center"/>
    </xf>
    <xf numFmtId="0" fontId="40" fillId="21" borderId="48" xfId="0" applyFont="1" applyFill="1" applyBorder="1" applyAlignment="1">
      <alignment horizontal="center" vertical="center"/>
    </xf>
    <xf numFmtId="0" fontId="40" fillId="21" borderId="47" xfId="0" applyFont="1" applyFill="1" applyBorder="1" applyAlignment="1">
      <alignment horizontal="center" vertical="center"/>
    </xf>
    <xf numFmtId="0" fontId="40" fillId="21" borderId="46" xfId="0" applyFont="1" applyFill="1" applyBorder="1" applyAlignment="1">
      <alignment horizontal="center" vertical="center"/>
    </xf>
    <xf numFmtId="0" fontId="31" fillId="19" borderId="0" xfId="0" quotePrefix="1" applyFont="1" applyFill="1" applyAlignment="1">
      <alignment horizontal="center" vertical="center"/>
    </xf>
    <xf numFmtId="0" fontId="31" fillId="19" borderId="0" xfId="0" applyFont="1" applyFill="1" applyAlignment="1">
      <alignment horizontal="center" vertical="center"/>
    </xf>
    <xf numFmtId="0" fontId="41" fillId="4" borderId="2" xfId="0" applyFont="1" applyFill="1" applyBorder="1" applyAlignment="1">
      <alignment horizontal="center" vertical="center"/>
    </xf>
    <xf numFmtId="0" fontId="15" fillId="4" borderId="2" xfId="0" applyFont="1" applyFill="1" applyBorder="1" applyAlignment="1">
      <alignment horizontal="center"/>
    </xf>
    <xf numFmtId="0" fontId="42" fillId="0" borderId="14" xfId="0" applyFont="1" applyBorder="1" applyAlignment="1">
      <alignment horizontal="center" vertical="center" wrapText="1"/>
    </xf>
    <xf numFmtId="0" fontId="42" fillId="0" borderId="49" xfId="0" applyFont="1" applyBorder="1" applyAlignment="1">
      <alignment horizontal="center" vertical="center" wrapText="1"/>
    </xf>
    <xf numFmtId="0" fontId="42" fillId="0" borderId="15" xfId="0" applyFont="1" applyBorder="1" applyAlignment="1">
      <alignment horizontal="center" vertical="center" wrapText="1"/>
    </xf>
    <xf numFmtId="0" fontId="45" fillId="26" borderId="56" xfId="0" applyFont="1" applyFill="1" applyBorder="1" applyAlignment="1">
      <alignment horizontal="center" vertical="center" wrapText="1"/>
    </xf>
    <xf numFmtId="0" fontId="45" fillId="26" borderId="57" xfId="0" applyFont="1" applyFill="1" applyBorder="1" applyAlignment="1">
      <alignment horizontal="center" vertical="center" wrapText="1"/>
    </xf>
    <xf numFmtId="0" fontId="45" fillId="25" borderId="55" xfId="0" applyFont="1" applyFill="1" applyBorder="1" applyAlignment="1">
      <alignment horizontal="center" vertical="center" wrapText="1"/>
    </xf>
    <xf numFmtId="0" fontId="45" fillId="25" borderId="56" xfId="0" applyFont="1" applyFill="1" applyBorder="1" applyAlignment="1">
      <alignment horizontal="center" vertical="center" wrapText="1"/>
    </xf>
    <xf numFmtId="0" fontId="45" fillId="25" borderId="57" xfId="0" applyFont="1" applyFill="1" applyBorder="1" applyAlignment="1">
      <alignment horizontal="center" vertical="center" wrapText="1"/>
    </xf>
    <xf numFmtId="0" fontId="45" fillId="26" borderId="55" xfId="0" applyFont="1" applyFill="1" applyBorder="1" applyAlignment="1">
      <alignment horizontal="center" vertical="center" wrapText="1"/>
    </xf>
    <xf numFmtId="0" fontId="23" fillId="0" borderId="0" xfId="0" applyFont="1" applyBorder="1" applyAlignment="1">
      <alignment vertical="center"/>
    </xf>
  </cellXfs>
  <cellStyles count="7">
    <cellStyle name="Comma" xfId="4" builtinId="3"/>
    <cellStyle name="Currency" xfId="5" builtinId="4"/>
    <cellStyle name="Moeda 2" xfId="2" xr:uid="{12DC25EE-A680-46BF-8738-B74A1C564CBC}"/>
    <cellStyle name="Normal" xfId="0" builtinId="0"/>
    <cellStyle name="Normal 2" xfId="1" xr:uid="{94ABA93E-B988-4E72-B023-705EFFD36D41}"/>
    <cellStyle name="Percent" xfId="6" builtinId="5"/>
    <cellStyle name="Porcentagem 2" xfId="3" xr:uid="{5D221524-0A17-426A-B535-FF8166F38DB1}"/>
  </cellStyles>
  <dxfs count="38">
    <dxf>
      <font>
        <condense val="0"/>
        <extend val="0"/>
        <color indexed="8"/>
      </font>
      <fill>
        <patternFill>
          <bgColor indexed="11"/>
        </patternFill>
      </fill>
    </dxf>
    <dxf>
      <fill>
        <patternFill patternType="darkUp">
          <fgColor indexed="26"/>
          <bgColor indexed="9"/>
        </patternFill>
      </fill>
    </dxf>
    <dxf>
      <fill>
        <patternFill patternType="darkDown">
          <fgColor indexed="26"/>
          <bgColor indexed="9"/>
        </patternFill>
      </fill>
    </dxf>
    <dxf>
      <fill>
        <patternFill>
          <bgColor indexed="44"/>
        </patternFill>
      </fill>
    </dxf>
    <dxf>
      <font>
        <b/>
        <i val="0"/>
        <condense val="0"/>
        <extend val="0"/>
        <color indexed="8"/>
      </font>
      <fill>
        <patternFill patternType="darkUp">
          <fgColor indexed="42"/>
          <bgColor indexed="43"/>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border diagonalUp="0" diagonalDown="0">
        <left/>
        <right style="medium">
          <color indexed="64"/>
        </right>
        <top/>
        <bottom style="medium">
          <color indexed="64"/>
        </bottom>
        <vertical/>
        <horizontal/>
      </border>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border diagonalUp="0" diagonalDown="0">
        <left/>
        <right style="medium">
          <color indexed="64"/>
        </right>
        <top/>
        <bottom style="medium">
          <color indexed="64"/>
        </bottom>
        <vertical/>
        <horizontal/>
      </border>
    </dxf>
    <dxf>
      <font>
        <b val="0"/>
        <i val="0"/>
        <strike val="0"/>
        <condense val="0"/>
        <extend val="0"/>
        <outline val="0"/>
        <shadow val="0"/>
        <u val="none"/>
        <vertAlign val="baseline"/>
        <sz val="11.5"/>
        <color theme="1"/>
        <name val="Times New Roman"/>
        <family val="1"/>
        <scheme val="none"/>
      </font>
      <alignment horizontal="right" vertical="center" textRotation="0" wrapText="0" indent="0" justifyLastLine="0" shrinkToFit="0" readingOrder="0"/>
      <border diagonalUp="0" diagonalDown="0">
        <left/>
        <right style="medium">
          <color indexed="64"/>
        </right>
        <top/>
        <bottom style="medium">
          <color indexed="64"/>
        </bottom>
        <vertical/>
        <horizontal/>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border outline="0">
        <bottom style="medium">
          <color indexed="64"/>
        </bottom>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34" formatCode="_-&quot;R$&quot;\ * #,##0.00_-;\-&quot;R$&quot;\ * #,##0.00_-;_-&quot;R$&quot;\ * &quot;-&quot;??_-;_-@_-"/>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Array" Target="richData/rdarray.xml"/><Relationship Id="rId3" Type="http://schemas.openxmlformats.org/officeDocument/2006/relationships/worksheet" Target="worksheets/sheet3.xml"/><Relationship Id="rId21" Type="http://schemas.microsoft.com/office/2017/06/relationships/rdSupportingPropertyBag" Target="richData/rdsupportingpropertybag.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microsoft.com/office/2006/relationships/vbaProject" Target="vbaProject.bin"/><Relationship Id="rId5" Type="http://schemas.openxmlformats.org/officeDocument/2006/relationships/worksheet" Target="worksheets/sheet5.xml"/><Relationship Id="rId15" Type="http://schemas.microsoft.com/office/2020/07/relationships/rdRichValueWebImage" Target="richData/rdRichValueWebImage.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 Id="rId22"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PROCH!$C$2</c:f>
              <c:strCache>
                <c:ptCount val="1"/>
                <c:pt idx="0">
                  <c:v>Casas Bahia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63500">
                <a:schemeClr val="accent1">
                  <a:satMod val="175000"/>
                  <a:alpha val="40000"/>
                </a:schemeClr>
              </a:glow>
            </a:effectLst>
          </c:spPr>
          <c:invertIfNegative val="0"/>
          <c:cat>
            <c:strRef>
              <c:f>PROCH!$B$3:$B$8</c:f>
              <c:strCache>
                <c:ptCount val="6"/>
                <c:pt idx="0">
                  <c:v>Jan</c:v>
                </c:pt>
                <c:pt idx="1">
                  <c:v>Fev</c:v>
                </c:pt>
                <c:pt idx="2">
                  <c:v>Mar</c:v>
                </c:pt>
                <c:pt idx="3">
                  <c:v>Abr</c:v>
                </c:pt>
                <c:pt idx="4">
                  <c:v>Mai</c:v>
                </c:pt>
                <c:pt idx="5">
                  <c:v>Jun</c:v>
                </c:pt>
              </c:strCache>
            </c:strRef>
          </c:cat>
          <c:val>
            <c:numRef>
              <c:f>PROCH!$C$3:$C$8</c:f>
              <c:numCache>
                <c:formatCode>_("R$"* #,##0_);_("R$"* \(#,##0\);_("R$"* "-"_);_(@_)</c:formatCode>
                <c:ptCount val="6"/>
                <c:pt idx="0">
                  <c:v>4300</c:v>
                </c:pt>
                <c:pt idx="1">
                  <c:v>3800</c:v>
                </c:pt>
                <c:pt idx="2">
                  <c:v>4100</c:v>
                </c:pt>
                <c:pt idx="3">
                  <c:v>4640</c:v>
                </c:pt>
                <c:pt idx="4">
                  <c:v>5100</c:v>
                </c:pt>
                <c:pt idx="5">
                  <c:v>5230</c:v>
                </c:pt>
              </c:numCache>
            </c:numRef>
          </c:val>
          <c:extLst>
            <c:ext xmlns:c16="http://schemas.microsoft.com/office/drawing/2014/chart" uri="{C3380CC4-5D6E-409C-BE32-E72D297353CC}">
              <c16:uniqueId val="{00000000-9AC8-4806-9441-4C2756C4F1D7}"/>
            </c:ext>
          </c:extLst>
        </c:ser>
        <c:ser>
          <c:idx val="1"/>
          <c:order val="1"/>
          <c:tx>
            <c:strRef>
              <c:f>PROCH!$D$2</c:f>
              <c:strCache>
                <c:ptCount val="1"/>
                <c:pt idx="0">
                  <c:v>Ponto Frio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glow rad="63500">
                <a:schemeClr val="accent2">
                  <a:satMod val="175000"/>
                  <a:alpha val="40000"/>
                </a:schemeClr>
              </a:glow>
            </a:effectLst>
          </c:spPr>
          <c:invertIfNegative val="0"/>
          <c:cat>
            <c:strRef>
              <c:f>PROCH!$B$3:$B$8</c:f>
              <c:strCache>
                <c:ptCount val="6"/>
                <c:pt idx="0">
                  <c:v>Jan</c:v>
                </c:pt>
                <c:pt idx="1">
                  <c:v>Fev</c:v>
                </c:pt>
                <c:pt idx="2">
                  <c:v>Mar</c:v>
                </c:pt>
                <c:pt idx="3">
                  <c:v>Abr</c:v>
                </c:pt>
                <c:pt idx="4">
                  <c:v>Mai</c:v>
                </c:pt>
                <c:pt idx="5">
                  <c:v>Jun</c:v>
                </c:pt>
              </c:strCache>
            </c:strRef>
          </c:cat>
          <c:val>
            <c:numRef>
              <c:f>PROCH!$D$3:$D$8</c:f>
              <c:numCache>
                <c:formatCode>_("R$"* #,##0_);_("R$"* \(#,##0\);_("R$"* "-"_);_(@_)</c:formatCode>
                <c:ptCount val="6"/>
                <c:pt idx="0">
                  <c:v>5200</c:v>
                </c:pt>
                <c:pt idx="1">
                  <c:v>4560</c:v>
                </c:pt>
                <c:pt idx="2">
                  <c:v>3730</c:v>
                </c:pt>
                <c:pt idx="3">
                  <c:v>4980</c:v>
                </c:pt>
                <c:pt idx="4">
                  <c:v>4690</c:v>
                </c:pt>
                <c:pt idx="5">
                  <c:v>4500</c:v>
                </c:pt>
              </c:numCache>
            </c:numRef>
          </c:val>
          <c:extLst>
            <c:ext xmlns:c16="http://schemas.microsoft.com/office/drawing/2014/chart" uri="{C3380CC4-5D6E-409C-BE32-E72D297353CC}">
              <c16:uniqueId val="{00000001-9AC8-4806-9441-4C2756C4F1D7}"/>
            </c:ext>
          </c:extLst>
        </c:ser>
        <c:ser>
          <c:idx val="2"/>
          <c:order val="2"/>
          <c:tx>
            <c:strRef>
              <c:f>PROCH!$E$2</c:f>
              <c:strCache>
                <c:ptCount val="1"/>
                <c:pt idx="0">
                  <c:v>Lojas Americanas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PROCH!$B$3:$B$8</c:f>
              <c:strCache>
                <c:ptCount val="6"/>
                <c:pt idx="0">
                  <c:v>Jan</c:v>
                </c:pt>
                <c:pt idx="1">
                  <c:v>Fev</c:v>
                </c:pt>
                <c:pt idx="2">
                  <c:v>Mar</c:v>
                </c:pt>
                <c:pt idx="3">
                  <c:v>Abr</c:v>
                </c:pt>
                <c:pt idx="4">
                  <c:v>Mai</c:v>
                </c:pt>
                <c:pt idx="5">
                  <c:v>Jun</c:v>
                </c:pt>
              </c:strCache>
            </c:strRef>
          </c:cat>
          <c:val>
            <c:numRef>
              <c:f>PROCH!$E$3:$E$8</c:f>
              <c:numCache>
                <c:formatCode>_("R$"* #,##0_);_("R$"* \(#,##0\);_("R$"* "-"_);_(@_)</c:formatCode>
                <c:ptCount val="6"/>
                <c:pt idx="0">
                  <c:v>4500</c:v>
                </c:pt>
                <c:pt idx="1">
                  <c:v>4250</c:v>
                </c:pt>
                <c:pt idx="2">
                  <c:v>3470</c:v>
                </c:pt>
                <c:pt idx="3">
                  <c:v>5100</c:v>
                </c:pt>
                <c:pt idx="4">
                  <c:v>3400</c:v>
                </c:pt>
                <c:pt idx="5">
                  <c:v>4100</c:v>
                </c:pt>
              </c:numCache>
            </c:numRef>
          </c:val>
          <c:extLst>
            <c:ext xmlns:c16="http://schemas.microsoft.com/office/drawing/2014/chart" uri="{C3380CC4-5D6E-409C-BE32-E72D297353CC}">
              <c16:uniqueId val="{00000002-9AC8-4806-9441-4C2756C4F1D7}"/>
            </c:ext>
          </c:extLst>
        </c:ser>
        <c:ser>
          <c:idx val="3"/>
          <c:order val="3"/>
          <c:tx>
            <c:strRef>
              <c:f>PROCH!$F$2</c:f>
              <c:strCache>
                <c:ptCount val="1"/>
                <c:pt idx="0">
                  <c:v>Marabraz</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glow rad="63500">
                <a:schemeClr val="accent4">
                  <a:satMod val="175000"/>
                  <a:alpha val="40000"/>
                </a:schemeClr>
              </a:glow>
            </a:effectLst>
          </c:spPr>
          <c:invertIfNegative val="0"/>
          <c:cat>
            <c:strRef>
              <c:f>PROCH!$B$3:$B$8</c:f>
              <c:strCache>
                <c:ptCount val="6"/>
                <c:pt idx="0">
                  <c:v>Jan</c:v>
                </c:pt>
                <c:pt idx="1">
                  <c:v>Fev</c:v>
                </c:pt>
                <c:pt idx="2">
                  <c:v>Mar</c:v>
                </c:pt>
                <c:pt idx="3">
                  <c:v>Abr</c:v>
                </c:pt>
                <c:pt idx="4">
                  <c:v>Mai</c:v>
                </c:pt>
                <c:pt idx="5">
                  <c:v>Jun</c:v>
                </c:pt>
              </c:strCache>
            </c:strRef>
          </c:cat>
          <c:val>
            <c:numRef>
              <c:f>PROCH!$F$3:$F$8</c:f>
              <c:numCache>
                <c:formatCode>_("R$"* #,##0_);_("R$"* \(#,##0\);_("R$"* "-"_);_(@_)</c:formatCode>
                <c:ptCount val="6"/>
                <c:pt idx="0">
                  <c:v>2300</c:v>
                </c:pt>
                <c:pt idx="1">
                  <c:v>4800</c:v>
                </c:pt>
                <c:pt idx="2">
                  <c:v>4500</c:v>
                </c:pt>
                <c:pt idx="3">
                  <c:v>4350</c:v>
                </c:pt>
                <c:pt idx="4">
                  <c:v>4350</c:v>
                </c:pt>
                <c:pt idx="5">
                  <c:v>5050</c:v>
                </c:pt>
              </c:numCache>
            </c:numRef>
          </c:val>
          <c:extLst>
            <c:ext xmlns:c16="http://schemas.microsoft.com/office/drawing/2014/chart" uri="{C3380CC4-5D6E-409C-BE32-E72D297353CC}">
              <c16:uniqueId val="{00000003-9AC8-4806-9441-4C2756C4F1D7}"/>
            </c:ext>
          </c:extLst>
        </c:ser>
        <c:dLbls>
          <c:showLegendKey val="0"/>
          <c:showVal val="0"/>
          <c:showCatName val="0"/>
          <c:showSerName val="0"/>
          <c:showPercent val="0"/>
          <c:showBubbleSize val="0"/>
        </c:dLbls>
        <c:gapWidth val="100"/>
        <c:overlap val="-24"/>
        <c:axId val="1744688383"/>
        <c:axId val="1743015679"/>
      </c:barChart>
      <c:catAx>
        <c:axId val="174468838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a:glow rad="127000">
              <a:schemeClr val="accent1"/>
            </a:glow>
          </a:effectLst>
        </c:spPr>
        <c:txPr>
          <a:bodyPr rot="-60000000" spcFirstLastPara="1" vertOverflow="ellipsis" vert="horz" wrap="square" anchor="ctr" anchorCtr="1"/>
          <a:lstStyle/>
          <a:p>
            <a:pPr>
              <a:defRPr sz="1600" b="0" i="0" u="none" strike="noStrike" kern="1200" baseline="0">
                <a:solidFill>
                  <a:schemeClr val="lt1">
                    <a:lumMod val="85000"/>
                  </a:schemeClr>
                </a:solidFill>
                <a:latin typeface="+mn-lt"/>
                <a:ea typeface="+mn-ea"/>
                <a:cs typeface="+mn-cs"/>
              </a:defRPr>
            </a:pPr>
            <a:endParaRPr lang="pt-BR"/>
          </a:p>
        </c:txPr>
        <c:crossAx val="1743015679"/>
        <c:crosses val="autoZero"/>
        <c:auto val="1"/>
        <c:lblAlgn val="ctr"/>
        <c:lblOffset val="100"/>
        <c:noMultiLvlLbl val="0"/>
      </c:catAx>
      <c:valAx>
        <c:axId val="1743015679"/>
        <c:scaling>
          <c:orientation val="minMax"/>
        </c:scaling>
        <c:delete val="0"/>
        <c:axPos val="l"/>
        <c:majorGridlines>
          <c:spPr>
            <a:ln w="9525" cap="flat" cmpd="sng" algn="ctr">
              <a:solidFill>
                <a:schemeClr val="lt1">
                  <a:lumMod val="95000"/>
                  <a:alpha val="10000"/>
                </a:schemeClr>
              </a:solidFill>
              <a:round/>
            </a:ln>
            <a:effectLst/>
          </c:spPr>
        </c:majorGridlines>
        <c:numFmt formatCode="_(&quot;R$&quot;* #,##0_);_(&quot;R$&quot;* \(#,##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lt1">
                    <a:lumMod val="85000"/>
                  </a:schemeClr>
                </a:solidFill>
                <a:latin typeface="+mn-lt"/>
                <a:ea typeface="+mn-ea"/>
                <a:cs typeface="+mn-cs"/>
              </a:defRPr>
            </a:pPr>
            <a:endParaRPr lang="pt-BR"/>
          </a:p>
        </c:txPr>
        <c:crossAx val="17446883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outerShdw blurRad="152400" dist="317500" dir="5400000" sx="90000" sy="-19000" rotWithShape="0">
        <a:prstClr val="black">
          <a:alpha val="15000"/>
        </a:prstClr>
      </a:outerShdw>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209552</xdr:colOff>
      <xdr:row>3</xdr:row>
      <xdr:rowOff>123825</xdr:rowOff>
    </xdr:from>
    <xdr:to>
      <xdr:col>4</xdr:col>
      <xdr:colOff>638175</xdr:colOff>
      <xdr:row>8</xdr:row>
      <xdr:rowOff>0</xdr:rowOff>
    </xdr:to>
    <xdr:sp macro="[0]!ordem_alfabetica" textlink="">
      <xdr:nvSpPr>
        <xdr:cNvPr id="6" name="Elipse 5">
          <a:extLst>
            <a:ext uri="{FF2B5EF4-FFF2-40B4-BE49-F238E27FC236}">
              <a16:creationId xmlns:a16="http://schemas.microsoft.com/office/drawing/2014/main" id="{79D42FC1-7484-4379-AE9D-FC957ED39295}"/>
            </a:ext>
          </a:extLst>
        </xdr:cNvPr>
        <xdr:cNvSpPr/>
      </xdr:nvSpPr>
      <xdr:spPr>
        <a:xfrm>
          <a:off x="4371977" y="419100"/>
          <a:ext cx="1466848" cy="828675"/>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rPr>
            <a:t>CLASSIFICAR CIDADE</a:t>
          </a:r>
        </a:p>
        <a:p>
          <a:pPr algn="ctr"/>
          <a:r>
            <a:rPr lang="pt-BR" sz="800" b="1"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rPr>
            <a:t> A-Z</a:t>
          </a:r>
        </a:p>
      </xdr:txBody>
    </xdr:sp>
    <xdr:clientData/>
  </xdr:twoCellAnchor>
  <xdr:twoCellAnchor>
    <xdr:from>
      <xdr:col>4</xdr:col>
      <xdr:colOff>1066800</xdr:colOff>
      <xdr:row>3</xdr:row>
      <xdr:rowOff>123825</xdr:rowOff>
    </xdr:from>
    <xdr:to>
      <xdr:col>5</xdr:col>
      <xdr:colOff>1181100</xdr:colOff>
      <xdr:row>8</xdr:row>
      <xdr:rowOff>0</xdr:rowOff>
    </xdr:to>
    <xdr:sp macro="[0]!ordem_alfabetica_contrario" textlink="">
      <xdr:nvSpPr>
        <xdr:cNvPr id="11" name="Elipse 5">
          <a:extLst>
            <a:ext uri="{FF2B5EF4-FFF2-40B4-BE49-F238E27FC236}">
              <a16:creationId xmlns:a16="http://schemas.microsoft.com/office/drawing/2014/main" id="{1FA18320-12D3-429A-A735-33CC06AA8CBE}"/>
            </a:ext>
          </a:extLst>
        </xdr:cNvPr>
        <xdr:cNvSpPr/>
      </xdr:nvSpPr>
      <xdr:spPr>
        <a:xfrm>
          <a:off x="6267450" y="419100"/>
          <a:ext cx="1428750" cy="828675"/>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rPr>
            <a:t>CLASSIFICAR CIDADE</a:t>
          </a:r>
        </a:p>
        <a:p>
          <a:pPr algn="ctr"/>
          <a:r>
            <a:rPr lang="pt-BR" sz="800" b="1"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rPr>
            <a:t> Z-A</a:t>
          </a:r>
        </a:p>
      </xdr:txBody>
    </xdr:sp>
    <xdr:clientData/>
  </xdr:twoCellAnchor>
  <xdr:twoCellAnchor>
    <xdr:from>
      <xdr:col>1</xdr:col>
      <xdr:colOff>1362075</xdr:colOff>
      <xdr:row>3</xdr:row>
      <xdr:rowOff>123825</xdr:rowOff>
    </xdr:from>
    <xdr:to>
      <xdr:col>2</xdr:col>
      <xdr:colOff>609598</xdr:colOff>
      <xdr:row>8</xdr:row>
      <xdr:rowOff>0</xdr:rowOff>
    </xdr:to>
    <xdr:sp macro="[0]!apagar_linha" textlink="">
      <xdr:nvSpPr>
        <xdr:cNvPr id="12" name="Elipse 5">
          <a:extLst>
            <a:ext uri="{FF2B5EF4-FFF2-40B4-BE49-F238E27FC236}">
              <a16:creationId xmlns:a16="http://schemas.microsoft.com/office/drawing/2014/main" id="{87756D2F-15C4-4708-BCDD-E248EAD7D3AF}"/>
            </a:ext>
          </a:extLst>
        </xdr:cNvPr>
        <xdr:cNvSpPr/>
      </xdr:nvSpPr>
      <xdr:spPr>
        <a:xfrm>
          <a:off x="2276475" y="419100"/>
          <a:ext cx="1466848" cy="828675"/>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rPr>
            <a:t>EXCLUIR LINHA</a:t>
          </a:r>
        </a:p>
      </xdr:txBody>
    </xdr:sp>
    <xdr:clientData/>
  </xdr:twoCellAnchor>
  <xdr:twoCellAnchor>
    <xdr:from>
      <xdr:col>0</xdr:col>
      <xdr:colOff>342900</xdr:colOff>
      <xdr:row>3</xdr:row>
      <xdr:rowOff>123825</xdr:rowOff>
    </xdr:from>
    <xdr:to>
      <xdr:col>1</xdr:col>
      <xdr:colOff>895348</xdr:colOff>
      <xdr:row>8</xdr:row>
      <xdr:rowOff>0</xdr:rowOff>
    </xdr:to>
    <xdr:sp macro="[0]!nova_linha" textlink="">
      <xdr:nvSpPr>
        <xdr:cNvPr id="13" name="Elipse 5">
          <a:extLst>
            <a:ext uri="{FF2B5EF4-FFF2-40B4-BE49-F238E27FC236}">
              <a16:creationId xmlns:a16="http://schemas.microsoft.com/office/drawing/2014/main" id="{36026E2F-4D17-4521-96F4-4F7A6A82A850}"/>
            </a:ext>
          </a:extLst>
        </xdr:cNvPr>
        <xdr:cNvSpPr/>
      </xdr:nvSpPr>
      <xdr:spPr>
        <a:xfrm>
          <a:off x="342900" y="419100"/>
          <a:ext cx="1466848" cy="828675"/>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rPr>
            <a:t>NOVA LINHA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57150</xdr:colOff>
      <xdr:row>1</xdr:row>
      <xdr:rowOff>85725</xdr:rowOff>
    </xdr:from>
    <xdr:to>
      <xdr:col>15</xdr:col>
      <xdr:colOff>19050</xdr:colOff>
      <xdr:row>14</xdr:row>
      <xdr:rowOff>123825</xdr:rowOff>
    </xdr:to>
    <xdr:graphicFrame macro="">
      <xdr:nvGraphicFramePr>
        <xdr:cNvPr id="2" name="Chart 1">
          <a:extLst>
            <a:ext uri="{FF2B5EF4-FFF2-40B4-BE49-F238E27FC236}">
              <a16:creationId xmlns:a16="http://schemas.microsoft.com/office/drawing/2014/main" id="{8114759B-6361-85FF-85B7-E66C4D7EC7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richData/_rels/rdRichValueWebImage.xml.rels><?xml version="1.0" encoding="UTF-8" standalone="yes"?>
<Relationships xmlns="http://schemas.openxmlformats.org/package/2006/relationships"><Relationship Id="rId8" Type="http://schemas.openxmlformats.org/officeDocument/2006/relationships/hyperlink" Target="https://www.bing.com/images/search?form=xlimg&amp;q=Mau%c3%a1%20da%20Serra" TargetMode="External"/><Relationship Id="rId13" Type="http://schemas.openxmlformats.org/officeDocument/2006/relationships/hyperlink" Target="https://www.bing.com/th?id=OSK.e58ba38df1f666f2431f17737d2ea464&amp;qlt=95" TargetMode="External"/><Relationship Id="rId18" Type="http://schemas.openxmlformats.org/officeDocument/2006/relationships/hyperlink" Target="https://www.bing.com/images/search?form=xlimg&amp;q=Apucarana" TargetMode="External"/><Relationship Id="rId3" Type="http://schemas.openxmlformats.org/officeDocument/2006/relationships/hyperlink" Target="https://www.bing.com/th?id=OSK.b504fb7f7013a245c2d559fc18d86c54&amp;qlt=95" TargetMode="External"/><Relationship Id="rId7" Type="http://schemas.openxmlformats.org/officeDocument/2006/relationships/hyperlink" Target="https://www.bing.com/th?id=OSK.f9f4929722353ae396b14fe5189f935d&amp;qlt=95" TargetMode="External"/><Relationship Id="rId12" Type="http://schemas.openxmlformats.org/officeDocument/2006/relationships/hyperlink" Target="https://www.bing.com/images/search?form=xlimg&amp;q=Kalor%c3%a9" TargetMode="External"/><Relationship Id="rId17" Type="http://schemas.openxmlformats.org/officeDocument/2006/relationships/hyperlink" Target="https://www.bing.com/th?id=OSK.369655737dd9412629e1679394a7204e&amp;qlt=95" TargetMode="External"/><Relationship Id="rId2" Type="http://schemas.openxmlformats.org/officeDocument/2006/relationships/hyperlink" Target="https://www.bing.com/images/search?form=xlimg&amp;q=Trememb%c3%a9" TargetMode="External"/><Relationship Id="rId16" Type="http://schemas.openxmlformats.org/officeDocument/2006/relationships/hyperlink" Target="https://www.bing.com/images/search?form=xlimg&amp;q=Ca%c3%a7apava" TargetMode="External"/><Relationship Id="rId1" Type="http://schemas.openxmlformats.org/officeDocument/2006/relationships/hyperlink" Target="https://www.bing.com/th?id=OSK.82448868359d65b10655c0391ed5fd44&amp;qlt=95" TargetMode="External"/><Relationship Id="rId6" Type="http://schemas.openxmlformats.org/officeDocument/2006/relationships/hyperlink" Target="https://www.bing.com/images/search?form=xlimg&amp;q=S%c3%a3o%20Jos%c3%a9%20dos%20Campos" TargetMode="External"/><Relationship Id="rId11" Type="http://schemas.openxmlformats.org/officeDocument/2006/relationships/hyperlink" Target="https://www.bing.com/th?id=OSK.4222422cba4ee1509f97562960287564&amp;qlt=95" TargetMode="External"/><Relationship Id="rId5" Type="http://schemas.openxmlformats.org/officeDocument/2006/relationships/hyperlink" Target="https://www.bing.com/th?id=OSK.50ad261b3b456ab70c8b728224cc13c3&amp;qlt=95" TargetMode="External"/><Relationship Id="rId15" Type="http://schemas.openxmlformats.org/officeDocument/2006/relationships/hyperlink" Target="https://www.bing.com/th?id=OSK.0ef0d2c5f4f1eab61f074206be9701e6&amp;qlt=95" TargetMode="External"/><Relationship Id="rId10" Type="http://schemas.openxmlformats.org/officeDocument/2006/relationships/hyperlink" Target="https://www.bing.com/images/search?form=xlimg&amp;q=Lorena,%20S%c3%a3o%20Paulo" TargetMode="External"/><Relationship Id="rId4" Type="http://schemas.openxmlformats.org/officeDocument/2006/relationships/hyperlink" Target="https://www.bing.com/images/search?form=xlimg&amp;q=Taubat%c3%a9" TargetMode="External"/><Relationship Id="rId9" Type="http://schemas.openxmlformats.org/officeDocument/2006/relationships/hyperlink" Target="https://www.bing.com/th?id=OSK.a8cc3f1686ddb50d0824261a3218026b&amp;qlt=95" TargetMode="External"/><Relationship Id="rId14" Type="http://schemas.openxmlformats.org/officeDocument/2006/relationships/hyperlink" Target="https://www.bing.com/images/search?form=xlimg&amp;q=Caraguatatuba"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Srd>
</file>

<file path=xl/richData/rdarray.xml><?xml version="1.0" encoding="utf-8"?>
<arrayData xmlns="http://schemas.microsoft.com/office/spreadsheetml/2017/richdata2" count="5">
  <a r="1">
    <v t="r">6</v>
  </a>
  <a r="1">
    <v t="r">17</v>
  </a>
  <a r="1">
    <v t="r">27</v>
  </a>
  <a r="1">
    <v t="r">69</v>
  </a>
  <a r="1">
    <v t="r">79</v>
  </a>
</arrayData>
</file>

<file path=xl/richData/rdrichvalue.xml><?xml version="1.0" encoding="utf-8"?>
<rvData xmlns="http://schemas.microsoft.com/office/spreadsheetml/2017/richdata" count="92">
  <rv s="0">
    <v>536870912</v>
    <v>Tremembé</v>
    <v>4f399299-6994-cc08-4145-4631b2dba817</v>
    <v>pt-BR</v>
    <v>Map</v>
  </rv>
  <rv s="1">
    <fb>192.416</fb>
    <v>9</v>
  </rv>
  <rv s="0">
    <v>536870912</v>
    <v>São Paulo</v>
    <v>4d56ae2d-1aad-8c4f-dca2-4456acc12f89</v>
    <v>pt-BR</v>
    <v>Map</v>
  </rv>
  <rv s="2">
    <v>0</v>
    <v>7</v>
    <v>0</v>
    <v>7</v>
    <v>0</v>
    <v>Image of Tremembé</v>
  </rv>
  <rv s="1">
    <fb>-22.957777777777999</fb>
    <v>10</v>
  </rv>
  <rv s="3">
    <v>https://www.bing.com/search?q=Trememb%c3%a9&amp;form=skydnc</v>
    <v>Aprenda mais com Bing</v>
  </rv>
  <rv s="0">
    <v>805306368</v>
    <v>José Antônio de Barros Neto (Prefeito)</v>
    <v>af698fde-5d72-1673-7ab6-e09683ccdbfd</v>
    <v>pt-BR</v>
    <v>Generic</v>
  </rv>
  <rv s="4">
    <v>0</v>
  </rv>
  <rv s="1">
    <fb>-45.548888888889003</fb>
    <v>10</v>
  </rv>
  <rv s="0">
    <v>536870912</v>
    <v>Brasil</v>
    <v>a828cf41-b938-49fe-7986-4b336618d413</v>
    <v>pt-BR</v>
    <v>Map</v>
  </rv>
  <rv s="1">
    <fb>51173</fb>
    <v>9</v>
  </rv>
  <rv s="5">
    <v>#VALUE!</v>
    <v>pt-BR</v>
    <v>4f399299-6994-cc08-4145-4631b2dba817</v>
    <v>536870912</v>
    <v>1</v>
    <v>1</v>
    <v>2</v>
    <v>3</v>
    <v>Tremembé</v>
    <v>5</v>
    <v>6</v>
    <v>Map</v>
    <v>7</v>
    <v>8</v>
    <v>1</v>
    <v>Tremembé is a municipality in the state of São Paulo in Brazil. It is part of the Metropolitan Region of Vale do Paraíba e Litoral Norte. The population is 47,714 in an area of 191.09 km². The elevation is 560 m.</v>
    <v>2</v>
    <v>3</v>
    <v>4</v>
    <v>5</v>
    <v>7</v>
    <v>8</v>
    <v>Tremembé</v>
    <v>9</v>
    <v>10</v>
    <v>Tremembé</v>
    <v>mdp/vdpid/6461172049078386690</v>
  </rv>
  <rv s="0">
    <v>536870912</v>
    <v>Taubaté</v>
    <v>32431ddf-1a85-b850-14fb-517eef90f964</v>
    <v>pt-BR</v>
    <v>Map</v>
  </rv>
  <rv s="1">
    <fb>625.00300000000004</fb>
    <v>9</v>
  </rv>
  <rv s="2">
    <v>1</v>
    <v>7</v>
    <v>11</v>
    <v>7</v>
    <v>0</v>
    <v>Image of Taubaté</v>
  </rv>
  <rv s="1">
    <fb>-23.033333333333001</fb>
    <v>10</v>
  </rv>
  <rv s="3">
    <v>https://www.bing.com/search?q=Taubat%c3%a9&amp;form=skydnc</v>
    <v>Aprenda mais com Bing</v>
  </rv>
  <rv s="0">
    <v>805306368</v>
    <v>José Antônio Saud (Prefeito)</v>
    <v>b52c8da4-d07a-5007-96ed-2d8fc737a920</v>
    <v>pt-BR</v>
    <v>Generic</v>
  </rv>
  <rv s="4">
    <v>1</v>
  </rv>
  <rv s="1">
    <fb>-45.55</fb>
    <v>10</v>
  </rv>
  <rv s="1">
    <fb>317915</fb>
    <v>9</v>
  </rv>
  <rv s="5">
    <v>#VALUE!</v>
    <v>pt-BR</v>
    <v>32431ddf-1a85-b850-14fb-517eef90f964</v>
    <v>536870912</v>
    <v>1</v>
    <v>12</v>
    <v>2</v>
    <v>3</v>
    <v>Taubaté</v>
    <v>5</v>
    <v>6</v>
    <v>Map</v>
    <v>7</v>
    <v>13</v>
    <v>13</v>
    <v>Taubaté is a medium-sized city in the State of São Paulo, in southeastern Brazil.</v>
    <v>2</v>
    <v>14</v>
    <v>15</v>
    <v>16</v>
    <v>18</v>
    <v>19</v>
    <v>Taubaté</v>
    <v>9</v>
    <v>20</v>
    <v>Taubaté</v>
    <v>mdp/vdpid/6461175242755670018</v>
  </rv>
  <rv s="0">
    <v>536870912</v>
    <v>São José dos Campos</v>
    <v>a997336d-5144-777a-9426-d408f13097f8</v>
    <v>pt-BR</v>
    <v>Map</v>
  </rv>
  <rv s="1">
    <fb>1099.77</fb>
    <v>9</v>
  </rv>
  <rv s="2">
    <v>2</v>
    <v>7</v>
    <v>14</v>
    <v>7</v>
    <v>0</v>
    <v>Image of São José dos Campos</v>
  </rv>
  <rv s="1">
    <fb>-23.178888888888999</fb>
    <v>10</v>
  </rv>
  <rv s="3">
    <v>https://www.bing.com/search?q=S%c3%a3o+Jos%c3%a9+dos+Campos&amp;form=skydnc</v>
    <v>Aprenda mais com Bing</v>
  </rv>
  <rv s="0">
    <v>805306368</v>
    <v>Anderson Farias (Prefeito)</v>
    <v>eec5d37a-d873-505b-11c5-87ffcb16b73b</v>
    <v>pt-BR</v>
    <v>Generic</v>
  </rv>
  <rv s="4">
    <v>2</v>
  </rv>
  <rv s="1">
    <fb>-45.886944444443998</fb>
    <v>10</v>
  </rv>
  <rv s="1">
    <fb>697428</fb>
    <v>9</v>
  </rv>
  <rv s="5">
    <v>#VALUE!</v>
    <v>pt-BR</v>
    <v>a997336d-5144-777a-9426-d408f13097f8</v>
    <v>536870912</v>
    <v>1</v>
    <v>15</v>
    <v>2</v>
    <v>3</v>
    <v>São José dos Campos</v>
    <v>5</v>
    <v>6</v>
    <v>Map</v>
    <v>7</v>
    <v>8</v>
    <v>23</v>
    <v>São José dos Campos is a major city and the seat of the municipality of the same name in the state of São Paulo, Brazil. One of the leading industrial and research centers with emphasis in aerospace sciences in Latin America, the city is located ...</v>
    <v>2</v>
    <v>24</v>
    <v>25</v>
    <v>26</v>
    <v>28</v>
    <v>29</v>
    <v>São José dos Campos</v>
    <v>9</v>
    <v>30</v>
    <v>São José dos Campos</v>
    <v>mdp/vdpid/6461148923498070017</v>
  </rv>
  <rv s="0">
    <v>536870912</v>
    <v>Mauá da Serra</v>
    <v>1233456e-9899-b30b-09ad-acce23837c7e</v>
    <v>pt-BR</v>
    <v>Map</v>
  </rv>
  <rv s="1">
    <fb>108.324</fb>
    <v>9</v>
  </rv>
  <rv s="0">
    <v>536870912</v>
    <v>Paraná</v>
    <v>a33450c4-459a-0682-41ee-635b343dd785</v>
    <v>pt-BR</v>
    <v>Map</v>
  </rv>
  <rv s="2">
    <v>3</v>
    <v>7</v>
    <v>16</v>
    <v>7</v>
    <v>0</v>
    <v>Image of Mauá da Serra</v>
  </rv>
  <rv s="1">
    <fb>-23.900833333333001</fb>
    <v>10</v>
  </rv>
  <rv s="3">
    <v>https://www.bing.com/search?q=Mau%c3%a1+da+Serra&amp;form=skydnc</v>
    <v>Aprenda mais com Bing</v>
  </rv>
  <rv s="1">
    <fb>-51.228888888889003</fb>
    <v>10</v>
  </rv>
  <rv s="1">
    <fb>9383</fb>
    <v>9</v>
  </rv>
  <rv s="6">
    <v>#VALUE!</v>
    <v>pt-BR</v>
    <v>1233456e-9899-b30b-09ad-acce23837c7e</v>
    <v>536870912</v>
    <v>1</v>
    <v>17</v>
    <v>2</v>
    <v>18</v>
    <v>Mauá da Serra</v>
    <v>5</v>
    <v>6</v>
    <v>Map</v>
    <v>7</v>
    <v>8</v>
    <v>33</v>
    <v>Mauá da Serra is a municipality in the state of Paraná in the Southern Region of Brazil.</v>
    <v>34</v>
    <v>35</v>
    <v>36</v>
    <v>37</v>
    <v>38</v>
    <v>Mauá da Serra</v>
    <v>9</v>
    <v>39</v>
    <v>Mauá da Serra</v>
    <v>mdp/vdpid/6459184924023848961</v>
  </rv>
  <rv s="0">
    <v>536870912</v>
    <v>Lorena, São Paulo</v>
    <v>9d17e2a6-1fef-122a-dbc8-7d852f8072e9</v>
    <v>pt-BR</v>
    <v>Map</v>
  </rv>
  <rv s="1">
    <fb>413.77600000000001</fb>
    <v>9</v>
  </rv>
  <rv s="2">
    <v>4</v>
    <v>7</v>
    <v>19</v>
    <v>7</v>
    <v>0</v>
    <v>Image of Lorena, São Paulo</v>
  </rv>
  <rv s="1">
    <fb>-22.730833333332999</fb>
    <v>10</v>
  </rv>
  <rv s="3">
    <v>https://www.bing.com/search?q=Lorena+S%c3%a3o+Paulo&amp;form=skydnc</v>
    <v>Aprenda mais com Bing</v>
  </rv>
  <rv s="1">
    <fb>-45.124722222221997</fb>
    <v>10</v>
  </rv>
  <rv s="1">
    <fb>89125</fb>
    <v>9</v>
  </rv>
  <rv s="6">
    <v>#VALUE!</v>
    <v>pt-BR</v>
    <v>9d17e2a6-1fef-122a-dbc8-7d852f8072e9</v>
    <v>536870912</v>
    <v>1</v>
    <v>20</v>
    <v>2</v>
    <v>18</v>
    <v>Lorena, São Paulo</v>
    <v>5</v>
    <v>6</v>
    <v>Map</v>
    <v>7</v>
    <v>13</v>
    <v>42</v>
    <v>Lorena is a municipality in the state of São Paulo in Brazil.</v>
    <v>2</v>
    <v>43</v>
    <v>44</v>
    <v>45</v>
    <v>46</v>
    <v>Lorena, São Paulo</v>
    <v>9</v>
    <v>47</v>
    <v>Lorena, São Paulo</v>
    <v>mdp/vdpid/6461168168139227137</v>
  </rv>
  <rv s="0">
    <v>536870912</v>
    <v>Kaloré</v>
    <v>2e2e6df8-d027-dde6-4644-8f6268eb2eea</v>
    <v>pt-BR</v>
    <v>Map</v>
  </rv>
  <rv s="1">
    <fb>193.29900000000001</fb>
    <v>9</v>
  </rv>
  <rv s="2">
    <v>5</v>
    <v>7</v>
    <v>21</v>
    <v>7</v>
    <v>0</v>
    <v>Image of Kaloré</v>
  </rv>
  <rv s="1">
    <fb>-23.816944444444001</fb>
    <v>10</v>
  </rv>
  <rv s="3">
    <v>https://www.bing.com/search?q=Kalor%c3%a9&amp;form=skydnc</v>
    <v>Aprenda mais com Bing</v>
  </rv>
  <rv s="1">
    <fb>-51.667777777777999</fb>
    <v>10</v>
  </rv>
  <rv s="1">
    <fb>4582</fb>
    <v>9</v>
  </rv>
  <rv s="6">
    <v>#VALUE!</v>
    <v>pt-BR</v>
    <v>2e2e6df8-d027-dde6-4644-8f6268eb2eea</v>
    <v>536870912</v>
    <v>1</v>
    <v>22</v>
    <v>2</v>
    <v>18</v>
    <v>Kaloré</v>
    <v>5</v>
    <v>6</v>
    <v>Map</v>
    <v>7</v>
    <v>8</v>
    <v>50</v>
    <v>Kaloré is a municipality in the state of Paraná in the Southern Region of Brazil.</v>
    <v>34</v>
    <v>51</v>
    <v>52</v>
    <v>53</v>
    <v>54</v>
    <v>Kaloré</v>
    <v>9</v>
    <v>55</v>
    <v>Kaloré</v>
    <v>mdp/vdpid/6458968445122772993</v>
  </rv>
  <rv s="0">
    <v>536870912</v>
    <v>Cruzmaltina</v>
    <v>76de9cc9-6c91-1e98-6cbb-ac4f6e56951b</v>
    <v>pt-BR</v>
    <v>Map</v>
  </rv>
  <rv s="1">
    <fb>312.29899999999998</fb>
    <v>9</v>
  </rv>
  <rv s="1">
    <fb>-24.012777777777998</fb>
    <v>10</v>
  </rv>
  <rv s="3">
    <v>https://www.bing.com/search?q=Cruzmaltina&amp;form=skydnc</v>
    <v>Aprenda mais com Bing</v>
  </rv>
  <rv s="1">
    <fb>-51.458888888889</fb>
    <v>10</v>
  </rv>
  <rv s="1">
    <fb>2882</fb>
    <v>9</v>
  </rv>
  <rv s="7">
    <v>#VALUE!</v>
    <v>pt-BR</v>
    <v>76de9cc9-6c91-1e98-6cbb-ac4f6e56951b</v>
    <v>536870912</v>
    <v>1</v>
    <v>24</v>
    <v>25</v>
    <v>26</v>
    <v>Cruzmaltina</v>
    <v>5</v>
    <v>27</v>
    <v>Map</v>
    <v>7</v>
    <v>8</v>
    <v>58</v>
    <v>Cruzmaltina is a municipality in the state of Paraná in the Southern Region of Brazil.</v>
    <v>34</v>
    <v>59</v>
    <v>60</v>
    <v>61</v>
    <v>Cruzmaltina</v>
    <v>9</v>
    <v>62</v>
    <v>Cruzmaltina</v>
    <v>mdp/vdpid/6459159279042560001</v>
  </rv>
  <rv s="0">
    <v>536870912</v>
    <v>Caraguatatuba</v>
    <v>acd5f8a1-9a79-a32e-f81c-887044d93929</v>
    <v>pt-BR</v>
    <v>Map</v>
  </rv>
  <rv s="1">
    <fb>485.01</fb>
    <v>9</v>
  </rv>
  <rv s="2">
    <v>6</v>
    <v>7</v>
    <v>28</v>
    <v>7</v>
    <v>0</v>
    <v>Image of Caraguatatuba</v>
  </rv>
  <rv s="1">
    <fb>-23.62</fb>
    <v>10</v>
  </rv>
  <rv s="3">
    <v>https://www.bing.com/search?q=Caraguatatuba&amp;form=skydnc</v>
    <v>Aprenda mais com Bing</v>
  </rv>
  <rv s="0">
    <v>805306368</v>
    <v>Antônio Carlos da Silva (Prefeito)</v>
    <v>4d6fe896-3b74-1a62-9c40-1e05aa36868f</v>
    <v>pt-BR</v>
    <v>Generic</v>
  </rv>
  <rv s="4">
    <v>3</v>
  </rv>
  <rv s="1">
    <fb>-45.412777777777997</fb>
    <v>10</v>
  </rv>
  <rv s="1">
    <fb>134875</fb>
    <v>9</v>
  </rv>
  <rv s="5">
    <v>#VALUE!</v>
    <v>pt-BR</v>
    <v>acd5f8a1-9a79-a32e-f81c-887044d93929</v>
    <v>536870912</v>
    <v>1</v>
    <v>29</v>
    <v>2</v>
    <v>3</v>
    <v>Caraguatatuba</v>
    <v>5</v>
    <v>6</v>
    <v>Map</v>
    <v>7</v>
    <v>8</v>
    <v>65</v>
    <v>Caraguatatuba, widely known by its abbreviation Caraguá, is a city in the eastern part of the southern state of São Paulo in Brazil. It is part of the Metropolitan Region of Vale do Paraíba e Litoral Norte. The population is 123,389 in an area ...</v>
    <v>2</v>
    <v>66</v>
    <v>67</v>
    <v>68</v>
    <v>70</v>
    <v>71</v>
    <v>Caraguatatuba</v>
    <v>9</v>
    <v>72</v>
    <v>Caraguatatuba</v>
    <v>mdp/vdpid/6461249459656327169</v>
  </rv>
  <rv s="0">
    <v>536870912</v>
    <v>Caçapava</v>
    <v>d31c08d1-2e92-1683-631a-491216abf1fe</v>
    <v>pt-BR</v>
    <v>Map</v>
  </rv>
  <rv s="1">
    <fb>369.90699999999998</fb>
    <v>9</v>
  </rv>
  <rv s="2">
    <v>7</v>
    <v>7</v>
    <v>30</v>
    <v>7</v>
    <v>0</v>
    <v>Image of Caçapava</v>
  </rv>
  <rv s="1">
    <fb>-23.100833333333</fb>
    <v>10</v>
  </rv>
  <rv s="3">
    <v>https://www.bing.com/search?q=Ca%c3%a7apava&amp;form=skydnc</v>
    <v>Aprenda mais com Bing</v>
  </rv>
  <rv s="0">
    <v>805306368</v>
    <v>Fernando Diniz (Prefeito)</v>
    <v>eded59e9-4228-00e2-6790-939eedb1aaa3</v>
    <v>pt-BR</v>
    <v>Generic</v>
  </rv>
  <rv s="4">
    <v>4</v>
  </rv>
  <rv s="1">
    <fb>-45.706944444443998</fb>
    <v>10</v>
  </rv>
  <rv s="1">
    <fb>95018</fb>
    <v>9</v>
  </rv>
  <rv s="5">
    <v>#VALUE!</v>
    <v>pt-BR</v>
    <v>d31c08d1-2e92-1683-631a-491216abf1fe</v>
    <v>536870912</v>
    <v>1</v>
    <v>31</v>
    <v>2</v>
    <v>3</v>
    <v>Caçapava</v>
    <v>5</v>
    <v>6</v>
    <v>Map</v>
    <v>7</v>
    <v>13</v>
    <v>75</v>
    <v>Caçapava is a municipality in the state of São Paulo in Brazil. It is part of the Metropolitan Region of Vale do Paraíba e Litoral Norte. Is between São José dos Campos 24 km and Taubaté 19 km. The distance from Caçapava to São Paulo is 109 km ...</v>
    <v>2</v>
    <v>76</v>
    <v>77</v>
    <v>78</v>
    <v>80</v>
    <v>81</v>
    <v>Caçapava</v>
    <v>9</v>
    <v>82</v>
    <v>Caçapava</v>
    <v>mdp/vdpid/6461151093161197569</v>
  </rv>
  <rv s="0">
    <v>536870912</v>
    <v>Apucarana</v>
    <v>cf65e8ab-b027-27dd-cc05-68988eb12c04</v>
    <v>pt-BR</v>
    <v>Map</v>
  </rv>
  <rv s="1">
    <fb>558.38800000000003</fb>
    <v>9</v>
  </rv>
  <rv s="2">
    <v>8</v>
    <v>7</v>
    <v>32</v>
    <v>7</v>
    <v>0</v>
    <v>Image of Apucarana</v>
  </rv>
  <rv s="1">
    <fb>-23.550833333332999</fb>
    <v>10</v>
  </rv>
  <rv s="3">
    <v>https://www.bing.com/search?q=Apucarana&amp;form=skydnc</v>
    <v>Aprenda mais com Bing</v>
  </rv>
  <rv s="1">
    <fb>-51.460833333332999</fb>
    <v>10</v>
  </rv>
  <rv s="1">
    <fb>130134</fb>
    <v>9</v>
  </rv>
  <rv s="6">
    <v>#VALUE!</v>
    <v>pt-BR</v>
    <v>cf65e8ab-b027-27dd-cc05-68988eb12c04</v>
    <v>536870912</v>
    <v>1</v>
    <v>33</v>
    <v>2</v>
    <v>18</v>
    <v>Apucarana</v>
    <v>5</v>
    <v>6</v>
    <v>Map</v>
    <v>7</v>
    <v>8</v>
    <v>85</v>
    <v>Apucarana is a municipality in the state of Paraná in Brazil. The municipality covers 548 square kilometres at an elevation of 840 metres above mean sea level. Its 2020 population was estimated as 136,234.</v>
    <v>34</v>
    <v>86</v>
    <v>87</v>
    <v>88</v>
    <v>89</v>
    <v>Apucarana</v>
    <v>9</v>
    <v>90</v>
    <v>Apucarana</v>
    <v>mdp/vdpid/6458952818370805761</v>
  </rv>
</rvData>
</file>

<file path=xl/richData/rdrichvaluestructure.xml><?xml version="1.0" encoding="utf-8"?>
<rvStructures xmlns="http://schemas.microsoft.com/office/spreadsheetml/2017/richdata" count="8">
  <s t="_linkedentity2">
    <k n="%EntityServiceId" t="i"/>
    <k n="_DisplayString" t="s"/>
    <k n="%EntityId" t="s"/>
    <k n="%EntityCulture" t="s"/>
    <k n="_Icon" t="s"/>
  </s>
  <s t="_formattednumber">
    <k n="_Format" t="spb"/>
  </s>
  <s t="_webimage">
    <k n="WebImageIdentifier" t="i"/>
    <k n="_Provider" t="spb"/>
    <k n="Attribution" t="spb"/>
    <k n="CalcOrigin" t="i"/>
    <k n="ComputedImage" t="b"/>
    <k n="Text" t="s"/>
  </s>
  <s t="_hyperlink">
    <k n="Address" t="s"/>
    <k n="Text" t="s"/>
  </s>
  <s t="_array">
    <k n="array" t="a"/>
  </s>
  <s t="_linkedentity2core">
    <k n="_CRID" t="e"/>
    <k n="%EntityCulture" t="s"/>
    <k n="%EntityId" t="s"/>
    <k n="%EntityServiceId" t="i"/>
    <k n="%IsRefreshable" t="b"/>
    <k n="_Attribution" t="spb"/>
    <k n="_CanonicalPropertyNames" t="spb"/>
    <k n="_Display" t="spb"/>
    <k n="_DisplayString" t="s"/>
    <k n="_Flags" t="spb"/>
    <k n="_Format" t="spb"/>
    <k n="_Icon" t="s"/>
    <k n="_Provider" t="spb"/>
    <k n="_SubLabel" t="spb"/>
    <k n="`Área" t="r"/>
    <k n="Descrição" t="s"/>
    <k n="Divisão administrativa 1 (Estado/província/outro)" t="r"/>
    <k n="Imagem" t="r"/>
    <k n="Latitude" t="r"/>
    <k n="LearnMoreOnLink" t="r"/>
    <k n="Líder(es)" t="r"/>
    <k n="Longitude" t="r"/>
    <k n="Nome" t="s"/>
    <k n="País/região" t="r"/>
    <k n="População" t="r"/>
    <k n="UniqueName" t="s"/>
    <k n="VDPID/VSID" t="s"/>
  </s>
  <s t="_linkedentity2core">
    <k n="_CRID" t="e"/>
    <k n="%EntityCulture" t="s"/>
    <k n="%EntityId" t="s"/>
    <k n="%EntityServiceId" t="i"/>
    <k n="%IsRefreshable" t="b"/>
    <k n="_Attribution" t="spb"/>
    <k n="_CanonicalPropertyNames" t="spb"/>
    <k n="_Display" t="spb"/>
    <k n="_DisplayString" t="s"/>
    <k n="_Flags" t="spb"/>
    <k n="_Format" t="spb"/>
    <k n="_Icon" t="s"/>
    <k n="_Provider" t="spb"/>
    <k n="_SubLabel" t="spb"/>
    <k n="`Área" t="r"/>
    <k n="Descrição" t="s"/>
    <k n="Divisão administrativa 1 (Estado/província/outro)" t="r"/>
    <k n="Imagem" t="r"/>
    <k n="Latitude" t="r"/>
    <k n="LearnMoreOnLink" t="r"/>
    <k n="Longitude" t="r"/>
    <k n="Nome" t="s"/>
    <k n="País/região" t="r"/>
    <k n="População" t="r"/>
    <k n="UniqueName" t="s"/>
    <k n="VDPID/VSID" t="s"/>
  </s>
  <s t="_linkedentity2core">
    <k n="_CRID" t="e"/>
    <k n="%EntityCulture" t="s"/>
    <k n="%EntityId" t="s"/>
    <k n="%EntityServiceId" t="i"/>
    <k n="%IsRefreshable" t="b"/>
    <k n="_Attribution" t="spb"/>
    <k n="_CanonicalPropertyNames" t="spb"/>
    <k n="_Display" t="spb"/>
    <k n="_DisplayString" t="s"/>
    <k n="_Flags" t="spb"/>
    <k n="_Format" t="spb"/>
    <k n="_Icon" t="s"/>
    <k n="_Provider" t="spb"/>
    <k n="_SubLabel" t="spb"/>
    <k n="`Área" t="r"/>
    <k n="Descrição" t="s"/>
    <k n="Divisão administrativa 1 (Estado/província/outro)" t="r"/>
    <k n="Latitude" t="r"/>
    <k n="LearnMoreOnLink" t="r"/>
    <k n="Longitude" t="r"/>
    <k n="Nome" t="s"/>
    <k n="País/região" t="r"/>
    <k n="População" t="r"/>
    <k n="UniqueName" t="s"/>
    <k n="VDPID/VSID" t="s"/>
  </s>
</rvStructures>
</file>

<file path=xl/richData/rdsupportingpropertybag.xml><?xml version="1.0" encoding="utf-8"?>
<supportingPropertyBags xmlns="http://schemas.microsoft.com/office/spreadsheetml/2017/richdata2">
  <spbArrays count="3">
    <a count="26">
      <v t="s">%EntityServiceId</v>
      <v t="s">%IsRefreshable</v>
      <v t="s">_CanonicalPropertyNames</v>
      <v t="s">%EntityCulture</v>
      <v t="s">%EntityId</v>
      <v t="s">_Icon</v>
      <v t="s">_Provider</v>
      <v t="s">_Attribution</v>
      <v t="s">_Display</v>
      <v t="s">Nome</v>
      <v t="s">_Format</v>
      <v t="s">Divisão administrativa 1 (Estado/província/outro)</v>
      <v t="s">País/região</v>
      <v t="s">Líder(es)</v>
      <v t="s">_SubLabel</v>
      <v t="s">População</v>
      <v t="s">`Área</v>
      <v t="s">Latitude</v>
      <v t="s">Longitude</v>
      <v t="s">_Flags</v>
      <v t="s">VDPID/VSID</v>
      <v t="s">UniqueName</v>
      <v t="s">_DisplayString</v>
      <v t="s">LearnMoreOnLink</v>
      <v t="s">Imagem</v>
      <v t="s">Descrição</v>
    </a>
    <a count="25">
      <v t="s">%EntityServiceId</v>
      <v t="s">%IsRefreshable</v>
      <v t="s">_CanonicalPropertyNames</v>
      <v t="s">%EntityCulture</v>
      <v t="s">%EntityId</v>
      <v t="s">_Icon</v>
      <v t="s">_Provider</v>
      <v t="s">_Attribution</v>
      <v t="s">_Display</v>
      <v t="s">Nome</v>
      <v t="s">_Format</v>
      <v t="s">Divisão administrativa 1 (Estado/província/outro)</v>
      <v t="s">País/região</v>
      <v t="s">_SubLabel</v>
      <v t="s">População</v>
      <v t="s">`Área</v>
      <v t="s">Latitude</v>
      <v t="s">Longitude</v>
      <v t="s">_Flags</v>
      <v t="s">VDPID/VSID</v>
      <v t="s">UniqueName</v>
      <v t="s">_DisplayString</v>
      <v t="s">LearnMoreOnLink</v>
      <v t="s">Imagem</v>
      <v t="s">Descrição</v>
    </a>
    <a count="24">
      <v t="s">%EntityServiceId</v>
      <v t="s">%IsRefreshable</v>
      <v t="s">_CanonicalPropertyNames</v>
      <v t="s">%EntityCulture</v>
      <v t="s">%EntityId</v>
      <v t="s">_Icon</v>
      <v t="s">_Provider</v>
      <v t="s">_Attribution</v>
      <v t="s">_Display</v>
      <v t="s">Nome</v>
      <v t="s">_Format</v>
      <v t="s">Divisão administrativa 1 (Estado/província/outro)</v>
      <v t="s">País/região</v>
      <v t="s">_SubLabel</v>
      <v t="s">População</v>
      <v t="s">`Área</v>
      <v t="s">Latitude</v>
      <v t="s">Longitude</v>
      <v t="s">_Flags</v>
      <v t="s">VDPID/VSID</v>
      <v t="s">UniqueName</v>
      <v t="s">_DisplayString</v>
      <v t="s">LearnMoreOnLink</v>
      <v t="s">Descrição</v>
    </a>
  </spbArrays>
  <spbData count="34">
    <spb s="0">
      <v xml:space="preserve">Wikipedia	</v>
      <v xml:space="preserve">CC BY-SA 3.0	</v>
      <v xml:space="preserve">https://en.wikipedia.org/wiki/Trememb%C3%A9	</v>
      <v xml:space="preserve">https://creativecommons.org/licenses/by-sa/3.0	</v>
    </spb>
    <spb s="1">
      <v>0</v>
      <v>0</v>
      <v>0</v>
      <v>0</v>
      <v>0</v>
      <v>0</v>
      <v>0</v>
      <v>0</v>
      <v>0</v>
    </spb>
    <spb s="2">
      <v>Name</v>
      <v>Area</v>
      <v>Image</v>
      <v>Latitude</v>
      <v>Description</v>
      <v>Longitude</v>
      <v>Population</v>
      <v>UniqueName</v>
      <v>VDPID/VSID</v>
      <v>Country/region</v>
      <v>LearnMoreOnLink</v>
      <v>Admin Division 1 (State/province/other)</v>
    </spb>
    <spb s="3">
      <v>0</v>
      <v>Name</v>
      <v>LearnMoreOnLink</v>
    </spb>
    <spb s="4">
      <v>0</v>
      <v>0</v>
      <v>0</v>
    </spb>
    <spb s="5">
      <v>4</v>
      <v>4</v>
      <v>4</v>
    </spb>
    <spb s="6">
      <v>1</v>
      <v>2</v>
    </spb>
    <spb s="7">
      <v>https://www.bing.com</v>
      <v>https://www.bing.com/th?id=Ga%5Cbing_yt.png&amp;w=100&amp;h=40&amp;c=0&amp;pid=0.1</v>
      <v>Da plataforma Bing</v>
    </spb>
    <spb s="8">
      <v>km quadrado</v>
      <v>2022</v>
    </spb>
    <spb s="9">
      <v>3</v>
    </spb>
    <spb s="9">
      <v>4</v>
    </spb>
    <spb s="0">
      <v xml:space="preserve">Wikipedia	</v>
      <v xml:space="preserve">CC BY-SA 3.0	</v>
      <v xml:space="preserve">https://en.wikipedia.org/wiki/Taubat%C3%A9	</v>
      <v xml:space="preserve">https://creativecommons.org/licenses/by-sa/3.0	</v>
    </spb>
    <spb s="1">
      <v>11</v>
      <v>11</v>
      <v>11</v>
      <v>11</v>
      <v>11</v>
      <v>11</v>
      <v>11</v>
      <v>11</v>
      <v>11</v>
    </spb>
    <spb s="8">
      <v>km quadrado</v>
      <v>2020</v>
    </spb>
    <spb s="0">
      <v xml:space="preserve">Wikipedia	</v>
      <v xml:space="preserve">CC BY-SA 3.0	</v>
      <v xml:space="preserve">https://en.wikipedia.org/wiki/S%C3%A3o_Jos%C3%A9_dos_Campos	</v>
      <v xml:space="preserve">https://creativecommons.org/licenses/by-sa/3.0	</v>
    </spb>
    <spb s="1">
      <v>14</v>
      <v>14</v>
      <v>14</v>
      <v>14</v>
      <v>14</v>
      <v>14</v>
      <v>14</v>
      <v>14</v>
      <v>14</v>
    </spb>
    <spb s="0">
      <v xml:space="preserve">Wikipedia	</v>
      <v xml:space="preserve">CC BY-SA 3.0	</v>
      <v xml:space="preserve">https://en.wikipedia.org/wiki/Mau%C3%A1_da_Serra	</v>
      <v xml:space="preserve">https://creativecommons.org/licenses/by-sa/3.0	</v>
    </spb>
    <spb s="1">
      <v>16</v>
      <v>16</v>
      <v>16</v>
      <v>16</v>
      <v>16</v>
      <v>16</v>
      <v>16</v>
      <v>16</v>
      <v>16</v>
    </spb>
    <spb s="3">
      <v>1</v>
      <v>Name</v>
      <v>LearnMoreOnLink</v>
    </spb>
    <spb s="0">
      <v xml:space="preserve">Wikipedia	</v>
      <v xml:space="preserve">CC BY-SA 3.0	</v>
      <v xml:space="preserve">https://en.wikipedia.org/wiki/Lorena,_S%C3%A3o_Paulo	</v>
      <v xml:space="preserve">https://creativecommons.org/licenses/by-sa/3.0	</v>
    </spb>
    <spb s="1">
      <v>19</v>
      <v>19</v>
      <v>19</v>
      <v>19</v>
      <v>19</v>
      <v>19</v>
      <v>19</v>
      <v>19</v>
      <v>19</v>
    </spb>
    <spb s="0">
      <v xml:space="preserve">Wikipedia	</v>
      <v xml:space="preserve">CC BY-SA 3.0	</v>
      <v xml:space="preserve">https://en.wikipedia.org/wiki/Kalor%C3%A9	</v>
      <v xml:space="preserve">https://creativecommons.org/licenses/by-sa/3.0	</v>
    </spb>
    <spb s="1">
      <v>21</v>
      <v>21</v>
      <v>21</v>
      <v>21</v>
      <v>21</v>
      <v>21</v>
      <v>21</v>
      <v>21</v>
      <v>21</v>
    </spb>
    <spb s="0">
      <v xml:space="preserve">Wikipedia	</v>
      <v xml:space="preserve">CC BY-SA 3.0	</v>
      <v xml:space="preserve">https://en.wikipedia.org/wiki/Cruzmaltina	</v>
      <v xml:space="preserve">https://creativecommons.org/licenses/by-sa/3.0	</v>
    </spb>
    <spb s="1">
      <v>23</v>
      <v>23</v>
      <v>23</v>
      <v>23</v>
      <v>23</v>
      <v>23</v>
      <v>23</v>
      <v>23</v>
      <v>23</v>
    </spb>
    <spb s="10">
      <v>Name</v>
      <v>Area</v>
      <v>Latitude</v>
      <v>Description</v>
      <v>Longitude</v>
      <v>Population</v>
      <v>UniqueName</v>
      <v>VDPID/VSID</v>
      <v>Country/region</v>
      <v>LearnMoreOnLink</v>
      <v>Admin Division 1 (State/province/other)</v>
    </spb>
    <spb s="3">
      <v>2</v>
      <v>Name</v>
      <v>LearnMoreOnLink</v>
    </spb>
    <spb s="11">
      <v>1</v>
    </spb>
    <spb s="0">
      <v xml:space="preserve">Wikipedia	</v>
      <v xml:space="preserve">CC BY-SA 3.0	</v>
      <v xml:space="preserve">https://en.wikipedia.org/wiki/Caraguatatuba	</v>
      <v xml:space="preserve">https://creativecommons.org/licenses/by-sa/3.0	</v>
    </spb>
    <spb s="1">
      <v>28</v>
      <v>28</v>
      <v>28</v>
      <v>28</v>
      <v>28</v>
      <v>28</v>
      <v>28</v>
      <v>28</v>
      <v>28</v>
    </spb>
    <spb s="0">
      <v xml:space="preserve">Wikipedia	</v>
      <v xml:space="preserve">CC BY-SA 3.0	</v>
      <v xml:space="preserve">https://en.wikipedia.org/wiki/Ca%C3%A7apava	</v>
      <v xml:space="preserve">https://creativecommons.org/licenses/by-sa/3.0	</v>
    </spb>
    <spb s="1">
      <v>30</v>
      <v>30</v>
      <v>30</v>
      <v>30</v>
      <v>30</v>
      <v>30</v>
      <v>30</v>
      <v>30</v>
      <v>30</v>
    </spb>
    <spb s="0">
      <v xml:space="preserve">Wikipedia	</v>
      <v xml:space="preserve">CC BY-SA 3.0	</v>
      <v xml:space="preserve">https://en.wikipedia.org/wiki/Apucarana	</v>
      <v xml:space="preserve">https://creativecommons.org/licenses/by-sa/3.0	</v>
    </spb>
    <spb s="1">
      <v>32</v>
      <v>32</v>
      <v>32</v>
      <v>32</v>
      <v>32</v>
      <v>32</v>
      <v>32</v>
      <v>32</v>
      <v>32</v>
    </spb>
  </spbData>
</supportingPropertyBags>
</file>

<file path=xl/richData/rdsupportingpropertybagstructure.xml><?xml version="1.0" encoding="utf-8"?>
<spbStructures xmlns="http://schemas.microsoft.com/office/spreadsheetml/2017/richdata2" count="12">
  <s>
    <k n="SourceText" t="s"/>
    <k n="LicenseText" t="s"/>
    <k n="SourceAddress" t="s"/>
    <k n="LicenseAddress" t="s"/>
  </s>
  <s>
    <k n="Nome" t="spb"/>
    <k n="`Área" t="spb"/>
    <k n="Latitude" t="spb"/>
    <k n="Descrição" t="spb"/>
    <k n="Longitude" t="spb"/>
    <k n="População" t="spb"/>
    <k n="UniqueName" t="spb"/>
    <k n="País/região" t="spb"/>
    <k n="Divisão administrativa 1 (Estado/província/outro)" t="spb"/>
  </s>
  <s>
    <k n="Nome" t="s"/>
    <k n="Área" t="s"/>
    <k n="Imagem" t="s"/>
    <k n="Latitude" t="s"/>
    <k n="Descrição" t="s"/>
    <k n="Longitude" t="s"/>
    <k n="População" t="s"/>
    <k n="UniqueName" t="s"/>
    <k n="VDPID/VSID" t="s"/>
    <k n="País/região" t="s"/>
    <k n="LearnMoreOnLink" t="s"/>
    <k n="Divisão administrativa 1 (Estado/província/outro)" t="s"/>
  </s>
  <s>
    <k n="^Order" t="spba"/>
    <k n="TitleProperty" t="s"/>
    <k n="SubTitleProperty" t="s"/>
  </s>
  <s>
    <k n="ShowInCardView" t="b"/>
    <k n="ShowInDotNotation" t="b"/>
    <k n="ShowInAutoComplete" t="b"/>
  </s>
  <s>
    <k n="UniqueName" t="spb"/>
    <k n="VDPID/VSID" t="spb"/>
    <k n="LearnMoreOnLink" t="spb"/>
  </s>
  <s>
    <k n="Nome" t="i"/>
    <k n="Imagem" t="i"/>
  </s>
  <s>
    <k n="link" t="s"/>
    <k n="logo" t="s"/>
    <k n="name" t="s"/>
  </s>
  <s>
    <k n="`Área" t="s"/>
    <k n="População" t="s"/>
  </s>
  <s>
    <k n="_Self" t="i"/>
  </s>
  <s>
    <k n="Nome" t="s"/>
    <k n="Área" t="s"/>
    <k n="Latitude" t="s"/>
    <k n="Descrição" t="s"/>
    <k n="Longitude" t="s"/>
    <k n="População" t="s"/>
    <k n="UniqueName" t="s"/>
    <k n="VDPID/VSID" t="s"/>
    <k n="País/região" t="s"/>
    <k n="LearnMoreOnLink" t="s"/>
    <k n="Divisão administrativa 1 (Estado/província/outro)" t="s"/>
  </s>
  <s>
    <k n="Nom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3" formatCode="#,##0"/>
    </x:dxf>
    <x:dxf>
      <x:numFmt numFmtId="0" formatCode="General"/>
    </x:dxf>
  </dxfs>
  <richProperties>
    <rPr n="IsTitleField" t="b"/>
    <rPr n="IsHeroField" t="b"/>
    <rPr n="NumberFormat" t="s"/>
  </richProperties>
  <richStyles>
    <rSty>
      <rpv i="0">1</rpv>
    </rSty>
    <rSty>
      <rpv i="1">1</rpv>
    </rSty>
    <rSty dxfid="0">
      <rpv i="2">#,##0</rpv>
    </rSty>
    <rSty dxfid="1">
      <rpv i="2">0.0000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A42A95-D55E-4EA7-A691-40FB10E9CF7F}" name="Tabela14" displayName="Tabela14" ref="A2:D12" totalsRowShown="0" headerRowDxfId="37" dataDxfId="36">
  <autoFilter ref="A2:D12" xr:uid="{6C237302-41C3-4803-894C-A0593B189395}"/>
  <tableColumns count="4">
    <tableColumn id="1" xr3:uid="{3D13020D-E5D5-46E9-9F26-B296763CA65C}" name="ITEM" dataDxfId="35"/>
    <tableColumn id="2" xr3:uid="{98D10BF6-4B03-43B2-A170-1A8ADBAE8DB3}" name="PRODUTO" dataDxfId="34"/>
    <tableColumn id="3" xr3:uid="{1A4B59CD-3D3C-4B8E-9B4B-23D56D5BACA1}" name="UNIDADE" dataDxfId="33"/>
    <tableColumn id="4" xr3:uid="{A5C3CF4D-8535-444E-8978-E22D0E63A18B}" name="VALOR UNIT." dataDxfId="32"/>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FA84D3F-6E4C-4953-B2CF-B2A50C9A263D}" name="Tabela3" displayName="Tabela3" ref="F2:K12" totalsRowShown="0" headerRowDxfId="31" dataDxfId="30">
  <autoFilter ref="F2:K12" xr:uid="{7688938B-C955-424B-874C-B747FC1C4BE8}"/>
  <tableColumns count="6">
    <tableColumn id="1" xr3:uid="{69BB386B-E196-41A9-9DDF-9A38B9AB3894}" name="ITEM" dataDxfId="29"/>
    <tableColumn id="2" xr3:uid="{839EAAD9-2369-4392-981D-0E3BFF663BC6}" name="PRODUTO" dataDxfId="28">
      <calculatedColumnFormula>VLOOKUP(Tabela3[[#This Row],[ITEM]],Tabela14[],2,0)</calculatedColumnFormula>
    </tableColumn>
    <tableColumn id="3" xr3:uid="{5559F582-9760-4FA4-901D-176ED9C9D044}" name="UNIDADE" dataDxfId="27">
      <calculatedColumnFormula>VLOOKUP(F3,Tabela14[],3,0)</calculatedColumnFormula>
    </tableColumn>
    <tableColumn id="4" xr3:uid="{A0C74DBE-1501-4C57-B7DA-E8FC3AAF6C7F}" name="VALOR UNIT." dataDxfId="26">
      <calculatedColumnFormula>VLOOKUP(F3,Tabela14[],4,0)</calculatedColumnFormula>
    </tableColumn>
    <tableColumn id="5" xr3:uid="{752B5BA7-593E-44F2-9109-E355C14AB6CA}" name="QUANTIDADE" dataDxfId="25"/>
    <tableColumn id="6" xr3:uid="{0F09356F-5D11-434B-9200-615265144FEF}" name="TOTAL" dataDxfId="24">
      <calculatedColumnFormula>IFERROR(Tabela3[[#This Row],[QUANTIDADE]]*Tabela3[[#This Row],[VALOR UNIT.]],"ERRO")</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8DEEF6E-549A-417E-BFE2-9F1628431B4C}" name="Tabela1" displayName="Tabela1" ref="A10:F61" totalsRowShown="0" headerRowDxfId="23" dataDxfId="21" headerRowBorderDxfId="22" tableBorderDxfId="20">
  <autoFilter ref="A10:F61" xr:uid="{CA3C9DA6-955F-45D7-B94A-9FA04A7BC83A}"/>
  <sortState xmlns:xlrd2="http://schemas.microsoft.com/office/spreadsheetml/2017/richdata2" ref="A11:F61">
    <sortCondition descending="1" ref="F10:F61"/>
  </sortState>
  <tableColumns count="6">
    <tableColumn id="1" xr3:uid="{1F37B998-5782-4C15-A88A-299C1F7DC33F}" name="Inscrição" dataDxfId="19"/>
    <tableColumn id="2" xr3:uid="{0E2D1FC5-2648-46DD-8353-26D95CE194B1}" name="Nome" dataDxfId="18"/>
    <tableColumn id="3" xr3:uid="{DC12D86A-208E-4277-8615-3BA6882E431A}" name="Nota Título" dataDxfId="17"/>
    <tableColumn id="4" xr3:uid="{ABE5D493-9A94-4103-8E40-E8639FFD33ED}" name="Nota Prova" dataDxfId="16"/>
    <tableColumn id="5" xr3:uid="{7E93BEB7-D35D-4AD8-BBE4-754E555C7401}" name="Classificação" dataDxfId="15"/>
    <tableColumn id="6" xr3:uid="{B0A8E8DC-BCDC-4DF1-B2EB-8EADF3AC85A6}" name="Cidade" dataDxfId="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F3158AC-8325-4312-B264-1365BA6036C8}" name="Tabela13" displayName="Tabela13" ref="A23:D34" totalsRowShown="0" headerRowDxfId="13" dataDxfId="12">
  <tableColumns count="4">
    <tableColumn id="1" xr3:uid="{0D8CCBFC-FE7B-4BA7-9362-FD6EB96DF4F8}" name="ITEM" dataDxfId="11"/>
    <tableColumn id="2" xr3:uid="{EF500144-B3CE-4713-8434-5B1FF529A1A5}" name="DESCRIÇÃO" dataDxfId="10"/>
    <tableColumn id="3" xr3:uid="{E0E45D45-63CD-48E1-ABB0-03EF21A4ED06}" name="LOJA" dataDxfId="9"/>
    <tableColumn id="4" xr3:uid="{39AD1FF5-0BEA-4DC9-84B2-0CDE732F4FDA}" name="VALOR" dataDxfId="8"/>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8865E-58BD-4D61-8486-FAB5C364BAA4}">
  <dimension ref="A1:DJ37"/>
  <sheetViews>
    <sheetView showGridLines="0" topLeftCell="A8" zoomScale="110" zoomScaleNormal="110" workbookViewId="0">
      <selection activeCell="M7" sqref="M7"/>
    </sheetView>
  </sheetViews>
  <sheetFormatPr defaultRowHeight="15"/>
  <cols>
    <col min="1" max="1" width="17.7109375" bestFit="1" customWidth="1"/>
    <col min="2" max="2" width="17.42578125" customWidth="1"/>
    <col min="3" max="3" width="20.42578125" bestFit="1" customWidth="1"/>
    <col min="4" max="4" width="14.140625" bestFit="1" customWidth="1"/>
    <col min="5" max="5" width="26.42578125" bestFit="1" customWidth="1"/>
    <col min="6" max="6" width="11.85546875" bestFit="1" customWidth="1"/>
    <col min="7" max="7" width="15.5703125" bestFit="1" customWidth="1"/>
  </cols>
  <sheetData>
    <row r="1" spans="1:114" ht="35.1" customHeight="1">
      <c r="A1" s="23" t="s">
        <v>32</v>
      </c>
      <c r="B1" s="23" t="s">
        <v>2</v>
      </c>
      <c r="C1" s="23" t="s">
        <v>33</v>
      </c>
      <c r="D1" s="23" t="s">
        <v>34</v>
      </c>
      <c r="E1" s="27" t="s">
        <v>35</v>
      </c>
    </row>
    <row r="2" spans="1:114" ht="24.95" customHeight="1">
      <c r="A2" s="4" t="s">
        <v>36</v>
      </c>
      <c r="B2" s="4">
        <v>12</v>
      </c>
      <c r="C2" s="24">
        <v>120</v>
      </c>
      <c r="D2" s="25">
        <f>IF(B2&gt;=B9,15%,0)</f>
        <v>0.15</v>
      </c>
      <c r="E2" s="26"/>
    </row>
    <row r="3" spans="1:114" ht="24.95" customHeight="1">
      <c r="A3" s="4" t="s">
        <v>37</v>
      </c>
      <c r="B3" s="4">
        <v>8</v>
      </c>
      <c r="C3" s="24">
        <v>92</v>
      </c>
      <c r="D3" s="25">
        <f>IF(B3&gt;=B9,15%,0)</f>
        <v>0</v>
      </c>
      <c r="E3" s="26"/>
    </row>
    <row r="4" spans="1:114" ht="24.95" customHeight="1">
      <c r="A4" s="4" t="s">
        <v>38</v>
      </c>
      <c r="B4" s="4">
        <v>16</v>
      </c>
      <c r="C4" s="24">
        <v>27</v>
      </c>
      <c r="D4" s="25">
        <f>IF(B4&gt;=B9,15%,0)</f>
        <v>0.15</v>
      </c>
      <c r="E4" s="26"/>
    </row>
    <row r="5" spans="1:114" ht="24.95" customHeight="1">
      <c r="A5" s="4" t="s">
        <v>39</v>
      </c>
      <c r="B5" s="4">
        <v>5</v>
      </c>
      <c r="C5" s="24">
        <v>35</v>
      </c>
      <c r="D5" s="25">
        <f>IF(B5&gt;=B9,15%,0)</f>
        <v>0</v>
      </c>
      <c r="E5" s="26"/>
    </row>
    <row r="6" spans="1:114" ht="24.95" customHeight="1">
      <c r="A6" s="4" t="s">
        <v>40</v>
      </c>
      <c r="B6" s="4">
        <v>14</v>
      </c>
      <c r="C6" s="24">
        <v>300</v>
      </c>
      <c r="D6" s="25">
        <f>IF(B6&gt;=B9,15%,0)</f>
        <v>0.15</v>
      </c>
      <c r="E6" s="26"/>
    </row>
    <row r="7" spans="1:114" ht="24.95" customHeight="1">
      <c r="A7" s="2"/>
      <c r="B7" s="2"/>
      <c r="C7" s="2"/>
      <c r="D7" s="2"/>
      <c r="E7" s="2"/>
    </row>
    <row r="8" spans="1:114" ht="24.95" customHeight="1">
      <c r="A8" s="177" t="s">
        <v>41</v>
      </c>
      <c r="B8" s="178"/>
      <c r="C8" s="2"/>
      <c r="D8" s="2"/>
      <c r="E8" s="2"/>
    </row>
    <row r="9" spans="1:114" ht="24.95" customHeight="1">
      <c r="A9" s="4" t="s">
        <v>42</v>
      </c>
      <c r="B9" s="4">
        <v>10</v>
      </c>
      <c r="C9" s="2"/>
      <c r="D9" s="2"/>
      <c r="E9" s="2"/>
    </row>
    <row r="10" spans="1:114" ht="24.95" customHeight="1">
      <c r="A10" s="28" t="s">
        <v>34</v>
      </c>
      <c r="B10" s="29">
        <v>0.15</v>
      </c>
      <c r="C10" s="2"/>
      <c r="D10" s="2"/>
      <c r="E10" s="2"/>
    </row>
    <row r="11" spans="1:114" ht="15.75" thickBot="1">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c r="CK11" s="30"/>
      <c r="CL11" s="30"/>
      <c r="CM11" s="30"/>
      <c r="CN11" s="30"/>
      <c r="CO11" s="30"/>
      <c r="CP11" s="30"/>
      <c r="CQ11" s="30"/>
      <c r="CR11" s="30"/>
      <c r="CS11" s="30"/>
      <c r="CT11" s="30"/>
      <c r="CU11" s="30"/>
      <c r="CV11" s="30"/>
      <c r="CW11" s="30"/>
      <c r="CX11" s="30"/>
      <c r="CY11" s="30"/>
      <c r="CZ11" s="30"/>
      <c r="DA11" s="30"/>
      <c r="DB11" s="30"/>
      <c r="DC11" s="30"/>
      <c r="DD11" s="30"/>
      <c r="DE11" s="30"/>
      <c r="DF11" s="30"/>
      <c r="DG11" s="30"/>
      <c r="DH11" s="30"/>
      <c r="DI11" s="30"/>
      <c r="DJ11" s="30"/>
    </row>
    <row r="12" spans="1:114" ht="18.75" thickBot="1">
      <c r="A12" s="179" t="s">
        <v>0</v>
      </c>
      <c r="B12" s="179"/>
      <c r="C12" s="179"/>
      <c r="D12" s="1"/>
      <c r="E12" s="1"/>
      <c r="F12" s="1"/>
    </row>
    <row r="13" spans="1:114">
      <c r="A13" s="2"/>
      <c r="B13" s="2"/>
      <c r="C13" s="2"/>
      <c r="D13" s="2"/>
      <c r="E13" s="2"/>
      <c r="F13" s="2"/>
    </row>
    <row r="14" spans="1:114" ht="18">
      <c r="A14" s="3" t="s">
        <v>1</v>
      </c>
      <c r="B14" s="3" t="s">
        <v>2</v>
      </c>
      <c r="C14" s="3" t="s">
        <v>3</v>
      </c>
      <c r="D14" s="2"/>
      <c r="E14" s="180" t="s">
        <v>4</v>
      </c>
      <c r="F14" s="180"/>
    </row>
    <row r="15" spans="1:114" ht="18">
      <c r="A15" s="4" t="s">
        <v>5</v>
      </c>
      <c r="B15" s="4">
        <v>132</v>
      </c>
      <c r="C15" s="4"/>
      <c r="D15" s="2"/>
      <c r="E15" s="5" t="s">
        <v>2</v>
      </c>
      <c r="F15" s="6">
        <f>AVERAGE(B15:B22)</f>
        <v>130.5</v>
      </c>
    </row>
    <row r="16" spans="1:114" ht="15.75">
      <c r="A16" s="4" t="s">
        <v>6</v>
      </c>
      <c r="B16" s="4">
        <v>120</v>
      </c>
      <c r="C16" s="4"/>
      <c r="D16" s="2"/>
      <c r="E16" s="2"/>
      <c r="F16" s="2"/>
    </row>
    <row r="17" spans="1:114" ht="15.75">
      <c r="A17" s="4" t="s">
        <v>7</v>
      </c>
      <c r="B17" s="4">
        <v>195</v>
      </c>
      <c r="C17" s="4"/>
      <c r="D17" s="2"/>
      <c r="E17" s="2"/>
      <c r="F17" s="2"/>
    </row>
    <row r="18" spans="1:114" ht="15.75">
      <c r="A18" s="4" t="s">
        <v>8</v>
      </c>
      <c r="B18" s="4">
        <v>200</v>
      </c>
      <c r="C18" s="4"/>
      <c r="D18" s="2"/>
      <c r="E18" s="2"/>
      <c r="F18" s="2"/>
    </row>
    <row r="19" spans="1:114" ht="15.75">
      <c r="A19" s="4" t="s">
        <v>9</v>
      </c>
      <c r="B19" s="4">
        <v>160</v>
      </c>
      <c r="C19" s="4"/>
      <c r="D19" s="2"/>
      <c r="E19" s="2"/>
      <c r="F19" s="2"/>
    </row>
    <row r="20" spans="1:114" ht="15.75">
      <c r="A20" s="4" t="s">
        <v>10</v>
      </c>
      <c r="B20" s="4">
        <v>112</v>
      </c>
      <c r="C20" s="4"/>
      <c r="D20" s="2"/>
      <c r="E20" s="7"/>
      <c r="F20" s="2"/>
    </row>
    <row r="21" spans="1:114" ht="15.75">
      <c r="A21" s="4" t="s">
        <v>11</v>
      </c>
      <c r="B21" s="4">
        <v>30</v>
      </c>
      <c r="C21" s="4"/>
      <c r="D21" s="2"/>
      <c r="E21" s="2"/>
      <c r="F21" s="2"/>
    </row>
    <row r="22" spans="1:114" ht="15.75">
      <c r="A22" s="4" t="s">
        <v>12</v>
      </c>
      <c r="B22" s="4">
        <v>95</v>
      </c>
      <c r="C22" s="4"/>
      <c r="D22" s="2"/>
      <c r="E22" s="2"/>
      <c r="F22" s="2"/>
    </row>
    <row r="24" spans="1:114">
      <c r="A24" s="30"/>
      <c r="B24" s="30"/>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0"/>
      <c r="BH24" s="30"/>
      <c r="BI24" s="30"/>
      <c r="BJ24" s="30"/>
      <c r="BK24" s="30"/>
      <c r="BL24" s="30"/>
      <c r="BM24" s="30"/>
      <c r="BN24" s="30"/>
      <c r="BO24" s="30"/>
      <c r="BP24" s="30"/>
      <c r="BQ24" s="30"/>
      <c r="BR24" s="30"/>
      <c r="BS24" s="30"/>
      <c r="BT24" s="30"/>
      <c r="BU24" s="30"/>
      <c r="BV24" s="30"/>
      <c r="BW24" s="30"/>
      <c r="BX24" s="30"/>
      <c r="BY24" s="30"/>
      <c r="BZ24" s="30"/>
      <c r="CA24" s="30"/>
      <c r="CB24" s="30"/>
      <c r="CC24" s="30"/>
      <c r="CD24" s="30"/>
      <c r="CE24" s="30"/>
      <c r="CF24" s="30"/>
      <c r="CG24" s="30"/>
      <c r="CH24" s="30"/>
      <c r="CI24" s="30"/>
      <c r="CJ24" s="30"/>
      <c r="CK24" s="30"/>
      <c r="CL24" s="30"/>
      <c r="CM24" s="30"/>
      <c r="CN24" s="30"/>
      <c r="CO24" s="30"/>
      <c r="CP24" s="30"/>
      <c r="CQ24" s="30"/>
      <c r="CR24" s="30"/>
      <c r="CS24" s="30"/>
      <c r="CT24" s="30"/>
      <c r="CU24" s="30"/>
      <c r="CV24" s="30"/>
      <c r="CW24" s="30"/>
      <c r="CX24" s="30"/>
      <c r="CY24" s="30"/>
      <c r="CZ24" s="30"/>
      <c r="DA24" s="30"/>
      <c r="DB24" s="30"/>
      <c r="DC24" s="30"/>
      <c r="DD24" s="30"/>
      <c r="DE24" s="30"/>
      <c r="DF24" s="30"/>
      <c r="DG24" s="30"/>
      <c r="DH24" s="30"/>
      <c r="DI24" s="30"/>
      <c r="DJ24" s="30"/>
    </row>
    <row r="25" spans="1:114" ht="15.75" thickBot="1"/>
    <row r="26" spans="1:114" ht="19.5" thickBot="1">
      <c r="A26" s="8" t="s">
        <v>13</v>
      </c>
      <c r="B26" s="8" t="s">
        <v>14</v>
      </c>
      <c r="C26" s="8" t="s">
        <v>15</v>
      </c>
      <c r="D26" s="8" t="s">
        <v>16</v>
      </c>
      <c r="E26" s="8" t="s">
        <v>17</v>
      </c>
      <c r="F26" s="8" t="s">
        <v>18</v>
      </c>
      <c r="G26" s="8" t="s">
        <v>19</v>
      </c>
    </row>
    <row r="27" spans="1:114" ht="19.5" thickBot="1">
      <c r="A27" s="9" t="s">
        <v>20</v>
      </c>
      <c r="B27" s="10">
        <v>7</v>
      </c>
      <c r="C27" s="10">
        <v>4</v>
      </c>
      <c r="D27" s="10">
        <v>6</v>
      </c>
      <c r="E27" s="10">
        <v>4</v>
      </c>
      <c r="F27" s="10">
        <f t="shared" ref="F27:F33" si="0">MEDIAN(B27:E27)</f>
        <v>5</v>
      </c>
      <c r="G27" s="11" t="str">
        <f t="shared" ref="G27:G32" si="1">IF(F27&gt;=7,"Aprovado",IF(F27&gt;=5,"Recuperação","Reprovado"))</f>
        <v>Recuperação</v>
      </c>
    </row>
    <row r="28" spans="1:114" ht="19.5" thickBot="1">
      <c r="A28" s="12" t="s">
        <v>21</v>
      </c>
      <c r="B28" s="13">
        <v>8</v>
      </c>
      <c r="C28" s="14">
        <v>7</v>
      </c>
      <c r="D28" s="14">
        <v>9.5</v>
      </c>
      <c r="E28" s="14">
        <v>4</v>
      </c>
      <c r="F28" s="14">
        <f t="shared" si="0"/>
        <v>7.5</v>
      </c>
      <c r="G28" s="11" t="str">
        <f t="shared" si="1"/>
        <v>Aprovado</v>
      </c>
    </row>
    <row r="29" spans="1:114" ht="19.5" thickBot="1">
      <c r="A29" s="12" t="s">
        <v>22</v>
      </c>
      <c r="B29" s="13">
        <v>3.2</v>
      </c>
      <c r="C29" s="14">
        <v>9</v>
      </c>
      <c r="D29" s="14">
        <v>5</v>
      </c>
      <c r="E29" s="14">
        <v>6</v>
      </c>
      <c r="F29" s="14">
        <f t="shared" si="0"/>
        <v>5.5</v>
      </c>
      <c r="G29" s="11" t="str">
        <f t="shared" si="1"/>
        <v>Recuperação</v>
      </c>
    </row>
    <row r="30" spans="1:114" ht="19.5" thickBot="1">
      <c r="A30" s="12" t="s">
        <v>23</v>
      </c>
      <c r="B30" s="13">
        <v>5.6</v>
      </c>
      <c r="C30" s="14">
        <v>9</v>
      </c>
      <c r="D30" s="14">
        <v>8.9</v>
      </c>
      <c r="E30" s="14">
        <v>4.5</v>
      </c>
      <c r="F30" s="14">
        <f t="shared" si="0"/>
        <v>7.25</v>
      </c>
      <c r="G30" s="11" t="str">
        <f t="shared" si="1"/>
        <v>Aprovado</v>
      </c>
    </row>
    <row r="31" spans="1:114" ht="19.5" thickBot="1">
      <c r="A31" s="12" t="s">
        <v>24</v>
      </c>
      <c r="B31" s="13">
        <v>4.4000000000000004</v>
      </c>
      <c r="C31" s="14">
        <v>5</v>
      </c>
      <c r="D31" s="14">
        <v>6.8</v>
      </c>
      <c r="E31" s="14">
        <v>6.6</v>
      </c>
      <c r="F31" s="14">
        <f t="shared" si="0"/>
        <v>5.8</v>
      </c>
      <c r="G31" s="11" t="str">
        <f>IF(F31&gt;=7,"Aprovado",IF(F31&gt;=5,"Recuperação","Reprovado"))</f>
        <v>Recuperação</v>
      </c>
    </row>
    <row r="32" spans="1:114" ht="19.5" thickBot="1">
      <c r="A32" s="15" t="s">
        <v>25</v>
      </c>
      <c r="B32" s="16">
        <v>6.1</v>
      </c>
      <c r="C32" s="17">
        <v>5</v>
      </c>
      <c r="D32" s="17">
        <v>4</v>
      </c>
      <c r="E32" s="17">
        <v>3</v>
      </c>
      <c r="F32" s="17">
        <f t="shared" si="0"/>
        <v>4.5</v>
      </c>
      <c r="G32" s="11" t="str">
        <f t="shared" si="1"/>
        <v>Reprovado</v>
      </c>
    </row>
    <row r="33" spans="1:7" ht="19.5" thickBot="1">
      <c r="A33" s="18" t="s">
        <v>18</v>
      </c>
      <c r="B33" s="19">
        <f>MEDIAN(B27:B32)</f>
        <v>5.85</v>
      </c>
      <c r="C33" s="19">
        <f>MEDIAN(C27:C32)</f>
        <v>6</v>
      </c>
      <c r="D33" s="19">
        <v>4</v>
      </c>
      <c r="E33" s="19">
        <f>MEDIAN(E27:E32)</f>
        <v>4.25</v>
      </c>
      <c r="F33" s="19">
        <f t="shared" si="0"/>
        <v>5.05</v>
      </c>
      <c r="G33" s="18"/>
    </row>
    <row r="34" spans="1:7" ht="15.75" thickBot="1"/>
    <row r="35" spans="1:7" ht="19.5" thickBot="1">
      <c r="E35" s="20" t="s">
        <v>26</v>
      </c>
      <c r="F35" s="18" t="s">
        <v>27</v>
      </c>
    </row>
    <row r="36" spans="1:7" ht="19.5" thickBot="1">
      <c r="E36" s="21" t="s">
        <v>28</v>
      </c>
      <c r="F36" s="18" t="s">
        <v>29</v>
      </c>
    </row>
    <row r="37" spans="1:7" ht="19.5" thickBot="1">
      <c r="E37" s="22" t="s">
        <v>30</v>
      </c>
      <c r="F37" s="18" t="s">
        <v>31</v>
      </c>
    </row>
  </sheetData>
  <mergeCells count="3">
    <mergeCell ref="A8:B8"/>
    <mergeCell ref="A12:C12"/>
    <mergeCell ref="E14:F14"/>
  </mergeCells>
  <conditionalFormatting sqref="G27:G32">
    <cfRule type="containsText" dxfId="7" priority="1" operator="containsText" text="REPROVADO">
      <formula>NOT(ISERROR(SEARCH("REPROVADO",G27)))</formula>
    </cfRule>
    <cfRule type="containsText" dxfId="6" priority="2" operator="containsText" text="RECUPERAÇÃO">
      <formula>NOT(ISERROR(SEARCH("RECUPERAÇÃO",G27)))</formula>
    </cfRule>
    <cfRule type="containsText" dxfId="5" priority="3" operator="containsText" text="APROVADO">
      <formula>NOT(ISERROR(SEARCH("APROVADO",G27)))</formula>
    </cfRule>
  </conditionalFormatting>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665A3-103B-445A-9EBD-65668FAADB84}">
  <dimension ref="A1:K12"/>
  <sheetViews>
    <sheetView showGridLines="0" zoomScale="154" zoomScaleNormal="154" workbookViewId="0">
      <selection activeCell="S28" sqref="S28"/>
    </sheetView>
  </sheetViews>
  <sheetFormatPr defaultRowHeight="15"/>
  <cols>
    <col min="1" max="1" width="10" bestFit="1" customWidth="1"/>
    <col min="2" max="2" width="14.42578125" bestFit="1" customWidth="1"/>
    <col min="3" max="3" width="13.85546875" bestFit="1" customWidth="1"/>
    <col min="4" max="4" width="17" bestFit="1" customWidth="1"/>
    <col min="6" max="6" width="10" bestFit="1" customWidth="1"/>
    <col min="7" max="7" width="14.42578125" bestFit="1" customWidth="1"/>
    <col min="8" max="8" width="15" customWidth="1"/>
    <col min="9" max="9" width="17" bestFit="1" customWidth="1"/>
    <col min="10" max="10" width="17.7109375" bestFit="1" customWidth="1"/>
    <col min="11" max="11" width="14.140625" customWidth="1"/>
  </cols>
  <sheetData>
    <row r="1" spans="1:11">
      <c r="A1" s="181" t="s">
        <v>303</v>
      </c>
      <c r="B1" s="181"/>
      <c r="C1" s="181"/>
      <c r="D1" s="181"/>
      <c r="F1" s="181" t="s">
        <v>286</v>
      </c>
      <c r="G1" s="181"/>
      <c r="H1" s="181"/>
      <c r="I1" s="181"/>
      <c r="J1" s="181"/>
      <c r="K1" s="181"/>
    </row>
    <row r="2" spans="1:11">
      <c r="A2" s="32" t="s">
        <v>285</v>
      </c>
      <c r="B2" s="32" t="s">
        <v>302</v>
      </c>
      <c r="C2" s="32" t="s">
        <v>301</v>
      </c>
      <c r="D2" s="32" t="s">
        <v>300</v>
      </c>
      <c r="F2" s="135" t="s">
        <v>285</v>
      </c>
      <c r="G2" s="135" t="s">
        <v>302</v>
      </c>
      <c r="H2" s="135" t="s">
        <v>301</v>
      </c>
      <c r="I2" s="135" t="s">
        <v>300</v>
      </c>
      <c r="J2" s="135" t="s">
        <v>299</v>
      </c>
      <c r="K2" s="135" t="s">
        <v>244</v>
      </c>
    </row>
    <row r="3" spans="1:11">
      <c r="A3" s="32">
        <v>1</v>
      </c>
      <c r="B3" s="32" t="s">
        <v>298</v>
      </c>
      <c r="C3" s="32" t="s">
        <v>288</v>
      </c>
      <c r="D3" s="134">
        <v>120</v>
      </c>
      <c r="F3" s="32">
        <v>1</v>
      </c>
      <c r="G3" s="32" t="str">
        <f>VLOOKUP(Tabela3[[#This Row],[ITEM]],Tabela14[],2,0)</f>
        <v>Relógio</v>
      </c>
      <c r="H3" s="32" t="str">
        <f>VLOOKUP(F3,Tabela14[],3,0)</f>
        <v>un</v>
      </c>
      <c r="I3" s="134">
        <f>VLOOKUP(F3,Tabela14[],4,0)</f>
        <v>120</v>
      </c>
      <c r="J3" s="32">
        <v>1</v>
      </c>
      <c r="K3" s="133">
        <f>IFERROR(Tabela3[[#This Row],[QUANTIDADE]]*Tabela3[[#This Row],[VALOR UNIT.]],"ERRO")</f>
        <v>120</v>
      </c>
    </row>
    <row r="4" spans="1:11">
      <c r="A4" s="32">
        <v>2</v>
      </c>
      <c r="B4" s="32" t="s">
        <v>297</v>
      </c>
      <c r="C4" s="32" t="s">
        <v>288</v>
      </c>
      <c r="D4" s="134">
        <v>980</v>
      </c>
      <c r="F4" s="32">
        <v>2</v>
      </c>
      <c r="G4" s="32" t="s">
        <v>297</v>
      </c>
      <c r="H4" s="32" t="s">
        <v>288</v>
      </c>
      <c r="I4" s="134">
        <v>980</v>
      </c>
      <c r="J4" s="32">
        <v>5</v>
      </c>
      <c r="K4" s="133">
        <f>IFERROR(Tabela3[[#This Row],[QUANTIDADE]]*Tabela3[[#This Row],[VALOR UNIT.]],"ERRO")</f>
        <v>4900</v>
      </c>
    </row>
    <row r="5" spans="1:11">
      <c r="A5" s="32">
        <v>3</v>
      </c>
      <c r="B5" s="32" t="s">
        <v>296</v>
      </c>
      <c r="C5" s="32" t="s">
        <v>288</v>
      </c>
      <c r="D5" s="134">
        <v>1290</v>
      </c>
      <c r="F5" s="32">
        <v>3</v>
      </c>
      <c r="G5" s="32" t="s">
        <v>296</v>
      </c>
      <c r="H5" s="32" t="s">
        <v>288</v>
      </c>
      <c r="I5" s="134">
        <v>1290</v>
      </c>
      <c r="J5" s="32">
        <v>10</v>
      </c>
      <c r="K5" s="133">
        <f>IFERROR(Tabela3[[#This Row],[QUANTIDADE]]*Tabela3[[#This Row],[VALOR UNIT.]],"ERRO")</f>
        <v>12900</v>
      </c>
    </row>
    <row r="6" spans="1:11">
      <c r="A6" s="32">
        <v>4</v>
      </c>
      <c r="B6" s="32" t="s">
        <v>295</v>
      </c>
      <c r="C6" s="32" t="s">
        <v>288</v>
      </c>
      <c r="D6" s="134">
        <v>70</v>
      </c>
      <c r="F6" s="32">
        <v>4</v>
      </c>
      <c r="G6" s="32" t="s">
        <v>295</v>
      </c>
      <c r="H6" s="32" t="s">
        <v>288</v>
      </c>
      <c r="I6" s="134">
        <v>70</v>
      </c>
      <c r="J6" s="32">
        <v>50</v>
      </c>
      <c r="K6" s="133">
        <f>IFERROR(Tabela3[[#This Row],[QUANTIDADE]]*Tabela3[[#This Row],[VALOR UNIT.]],"ERRO")</f>
        <v>3500</v>
      </c>
    </row>
    <row r="7" spans="1:11">
      <c r="A7" s="32">
        <v>5</v>
      </c>
      <c r="B7" s="32" t="s">
        <v>294</v>
      </c>
      <c r="C7" s="32" t="s">
        <v>293</v>
      </c>
      <c r="D7" s="134">
        <v>200</v>
      </c>
      <c r="F7" s="32">
        <v>5</v>
      </c>
      <c r="G7" s="32" t="s">
        <v>294</v>
      </c>
      <c r="H7" s="32" t="s">
        <v>293</v>
      </c>
      <c r="I7" s="134">
        <v>200</v>
      </c>
      <c r="J7" s="32">
        <v>5</v>
      </c>
      <c r="K7" s="133">
        <f>IFERROR(Tabela3[[#This Row],[QUANTIDADE]]*Tabela3[[#This Row],[VALOR UNIT.]],"ERRO")</f>
        <v>1000</v>
      </c>
    </row>
    <row r="8" spans="1:11">
      <c r="A8" s="32">
        <v>6</v>
      </c>
      <c r="B8" s="32" t="s">
        <v>292</v>
      </c>
      <c r="C8" s="32" t="s">
        <v>288</v>
      </c>
      <c r="D8" s="134">
        <v>20</v>
      </c>
      <c r="F8" s="32">
        <v>6</v>
      </c>
      <c r="G8" s="32" t="s">
        <v>292</v>
      </c>
      <c r="H8" s="32" t="s">
        <v>288</v>
      </c>
      <c r="I8" s="134">
        <v>20</v>
      </c>
      <c r="J8" s="32">
        <v>23</v>
      </c>
      <c r="K8" s="133">
        <f>IFERROR(Tabela3[[#This Row],[QUANTIDADE]]*Tabela3[[#This Row],[VALOR UNIT.]],"ERRO")</f>
        <v>460</v>
      </c>
    </row>
    <row r="9" spans="1:11">
      <c r="A9" s="32">
        <v>7</v>
      </c>
      <c r="B9" s="32" t="s">
        <v>291</v>
      </c>
      <c r="C9" s="32" t="s">
        <v>288</v>
      </c>
      <c r="D9" s="134">
        <v>32</v>
      </c>
      <c r="F9" s="32">
        <v>7</v>
      </c>
      <c r="G9" s="32" t="s">
        <v>291</v>
      </c>
      <c r="H9" s="32" t="s">
        <v>288</v>
      </c>
      <c r="I9" s="134">
        <v>32</v>
      </c>
      <c r="J9" s="32">
        <v>446</v>
      </c>
      <c r="K9" s="133">
        <f>IFERROR(Tabela3[[#This Row],[QUANTIDADE]]*Tabela3[[#This Row],[VALOR UNIT.]],"ERRO")</f>
        <v>14272</v>
      </c>
    </row>
    <row r="10" spans="1:11">
      <c r="A10" s="32">
        <v>8</v>
      </c>
      <c r="B10" s="32" t="s">
        <v>290</v>
      </c>
      <c r="C10" s="32" t="s">
        <v>288</v>
      </c>
      <c r="D10" s="134">
        <v>520</v>
      </c>
      <c r="F10" s="32">
        <v>8</v>
      </c>
      <c r="G10" s="32" t="s">
        <v>290</v>
      </c>
      <c r="H10" s="32" t="s">
        <v>288</v>
      </c>
      <c r="I10" s="134">
        <v>520</v>
      </c>
      <c r="J10" s="32">
        <v>67</v>
      </c>
      <c r="K10" s="133">
        <f>IFERROR(Tabela3[[#This Row],[QUANTIDADE]]*Tabela3[[#This Row],[VALOR UNIT.]],"ERRO")</f>
        <v>34840</v>
      </c>
    </row>
    <row r="11" spans="1:11">
      <c r="A11" s="32">
        <v>9</v>
      </c>
      <c r="B11" s="32" t="s">
        <v>289</v>
      </c>
      <c r="C11" s="32" t="s">
        <v>288</v>
      </c>
      <c r="D11" s="134">
        <v>150</v>
      </c>
      <c r="F11" s="32">
        <v>9</v>
      </c>
      <c r="G11" s="32" t="s">
        <v>289</v>
      </c>
      <c r="H11" s="32" t="s">
        <v>288</v>
      </c>
      <c r="I11" s="134">
        <v>150</v>
      </c>
      <c r="J11" s="32">
        <v>645</v>
      </c>
      <c r="K11" s="133">
        <f>IFERROR(Tabela3[[#This Row],[QUANTIDADE]]*Tabela3[[#This Row],[VALOR UNIT.]],"ERRO")</f>
        <v>96750</v>
      </c>
    </row>
    <row r="12" spans="1:11">
      <c r="A12" s="32">
        <v>10</v>
      </c>
      <c r="B12" s="32" t="s">
        <v>227</v>
      </c>
      <c r="C12" s="32" t="s">
        <v>288</v>
      </c>
      <c r="D12" s="134">
        <v>130</v>
      </c>
      <c r="F12" s="32">
        <v>10</v>
      </c>
      <c r="G12" s="32" t="s">
        <v>227</v>
      </c>
      <c r="H12" s="32" t="s">
        <v>288</v>
      </c>
      <c r="I12" s="134">
        <v>130</v>
      </c>
      <c r="J12" s="32">
        <v>465</v>
      </c>
      <c r="K12" s="133">
        <f>IFERROR(Tabela3[[#This Row],[QUANTIDADE]]*Tabela3[[#This Row],[VALOR UNIT.]],"ERRO")</f>
        <v>60450</v>
      </c>
    </row>
  </sheetData>
  <mergeCells count="2">
    <mergeCell ref="A1:D1"/>
    <mergeCell ref="F1:K1"/>
  </mergeCells>
  <dataValidations count="1">
    <dataValidation type="list" allowBlank="1" showInputMessage="1" showErrorMessage="1" sqref="F3" xr:uid="{CF6E1FE8-5D9C-4DB8-8C2B-5A297E736CE0}">
      <formula1>OFFSET($A$3,0,0,COUNTA($A$3:$A$15),1)</formula1>
    </dataValidation>
  </dataValidations>
  <pageMargins left="0.511811024" right="0.511811024" top="0.78740157499999996" bottom="0.78740157499999996" header="0.31496062000000002" footer="0.31496062000000002"/>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C8F3F-0AD9-492A-94B8-9495CE81344E}">
  <dimension ref="A1:EZ38"/>
  <sheetViews>
    <sheetView showGridLines="0" workbookViewId="0">
      <selection activeCell="K16" sqref="K16"/>
    </sheetView>
  </sheetViews>
  <sheetFormatPr defaultRowHeight="15"/>
  <cols>
    <col min="1" max="1" width="49" bestFit="1" customWidth="1"/>
    <col min="2" max="2" width="30.28515625" bestFit="1" customWidth="1"/>
    <col min="3" max="3" width="5.5703125" bestFit="1" customWidth="1"/>
    <col min="4" max="4" width="22.28515625" bestFit="1" customWidth="1"/>
  </cols>
  <sheetData>
    <row r="1" spans="1:156">
      <c r="A1" s="35" t="s">
        <v>50</v>
      </c>
      <c r="B1" s="35" t="s">
        <v>49</v>
      </c>
      <c r="C1" s="35" t="s">
        <v>48</v>
      </c>
    </row>
    <row r="2" spans="1:156">
      <c r="A2" s="33" t="s">
        <v>47</v>
      </c>
      <c r="B2" s="34">
        <v>5</v>
      </c>
      <c r="C2" s="33">
        <v>1</v>
      </c>
    </row>
    <row r="3" spans="1:156">
      <c r="A3" s="33" t="s">
        <v>46</v>
      </c>
      <c r="B3" s="34">
        <v>8</v>
      </c>
      <c r="C3" s="33">
        <v>2</v>
      </c>
    </row>
    <row r="4" spans="1:156">
      <c r="A4" s="33" t="s">
        <v>45</v>
      </c>
      <c r="B4" s="34">
        <v>6</v>
      </c>
      <c r="C4" s="33">
        <v>3</v>
      </c>
    </row>
    <row r="5" spans="1:156">
      <c r="A5" s="33" t="s">
        <v>44</v>
      </c>
      <c r="B5" s="34">
        <v>7</v>
      </c>
      <c r="C5" s="33">
        <v>4</v>
      </c>
    </row>
    <row r="7" spans="1:156">
      <c r="A7" s="32" t="s">
        <v>43</v>
      </c>
      <c r="B7" s="60">
        <f>SUMPRODUCT(B2:B5,C2:C5/SUM(C2:C5))</f>
        <v>6.7</v>
      </c>
    </row>
    <row r="8" spans="1:156">
      <c r="B8" s="59"/>
    </row>
    <row r="9" spans="1:156">
      <c r="A9" s="30"/>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0"/>
      <c r="BH9" s="30"/>
      <c r="BI9" s="30"/>
      <c r="BJ9" s="30"/>
      <c r="BK9" s="30"/>
      <c r="BL9" s="30"/>
      <c r="BM9" s="30"/>
      <c r="BN9" s="30"/>
      <c r="BO9" s="30"/>
      <c r="BP9" s="30"/>
      <c r="BQ9" s="30"/>
      <c r="BR9" s="30"/>
      <c r="BS9" s="30"/>
      <c r="BT9" s="30"/>
      <c r="BU9" s="30"/>
      <c r="BV9" s="30"/>
      <c r="BW9" s="30"/>
      <c r="BX9" s="30"/>
      <c r="BY9" s="30"/>
      <c r="BZ9" s="30"/>
      <c r="CA9" s="30"/>
      <c r="CB9" s="30"/>
      <c r="CC9" s="30"/>
      <c r="CD9" s="30"/>
      <c r="CE9" s="30"/>
      <c r="CF9" s="30"/>
      <c r="CG9" s="30"/>
      <c r="CH9" s="30"/>
      <c r="CI9" s="30"/>
      <c r="CJ9" s="30"/>
      <c r="CK9" s="30"/>
      <c r="CL9" s="30"/>
      <c r="CM9" s="30"/>
      <c r="CN9" s="30"/>
      <c r="CO9" s="30"/>
      <c r="CP9" s="30"/>
      <c r="CQ9" s="30"/>
      <c r="CR9" s="30"/>
      <c r="CS9" s="30"/>
      <c r="CT9" s="30"/>
      <c r="CU9" s="30"/>
      <c r="CV9" s="30"/>
      <c r="CW9" s="30"/>
      <c r="CX9" s="30"/>
      <c r="CY9" s="30"/>
      <c r="CZ9" s="30"/>
      <c r="DA9" s="30"/>
      <c r="DB9" s="30"/>
      <c r="DC9" s="30"/>
      <c r="DD9" s="30"/>
      <c r="DE9" s="30"/>
      <c r="DF9" s="30"/>
      <c r="DG9" s="30"/>
      <c r="DH9" s="30"/>
      <c r="DI9" s="30"/>
      <c r="DJ9" s="30"/>
      <c r="DK9" s="30"/>
      <c r="DL9" s="30"/>
      <c r="DM9" s="30"/>
      <c r="DN9" s="30"/>
      <c r="DO9" s="30"/>
      <c r="DP9" s="30"/>
      <c r="DQ9" s="30"/>
      <c r="DR9" s="30"/>
      <c r="DS9" s="30"/>
      <c r="DT9" s="30"/>
      <c r="DU9" s="30"/>
      <c r="DV9" s="30"/>
      <c r="DW9" s="30"/>
      <c r="DX9" s="30"/>
      <c r="DY9" s="30"/>
      <c r="DZ9" s="30"/>
      <c r="EA9" s="30"/>
      <c r="EB9" s="30"/>
      <c r="EC9" s="30"/>
      <c r="ED9" s="30"/>
      <c r="EE9" s="30"/>
      <c r="EF9" s="30"/>
      <c r="EG9" s="30"/>
      <c r="EH9" s="30"/>
      <c r="EI9" s="30"/>
      <c r="EJ9" s="30"/>
      <c r="EK9" s="30"/>
      <c r="EL9" s="30"/>
      <c r="EM9" s="30"/>
      <c r="EN9" s="30"/>
      <c r="EO9" s="30"/>
      <c r="EP9" s="30"/>
      <c r="EQ9" s="30"/>
      <c r="ER9" s="30"/>
      <c r="ES9" s="30"/>
      <c r="ET9" s="30"/>
      <c r="EU9" s="30"/>
      <c r="EV9" s="30"/>
      <c r="EW9" s="30"/>
      <c r="EX9" s="30"/>
      <c r="EY9" s="30"/>
      <c r="EZ9" s="30"/>
    </row>
    <row r="10" spans="1:156" ht="23.25">
      <c r="A10" s="182" t="s">
        <v>55</v>
      </c>
      <c r="B10" s="182"/>
      <c r="C10" s="182"/>
      <c r="D10" s="182"/>
      <c r="E10" s="182"/>
      <c r="F10" s="182"/>
    </row>
    <row r="12" spans="1:156">
      <c r="A12" s="39" t="s">
        <v>54</v>
      </c>
      <c r="B12" s="39" t="s">
        <v>53</v>
      </c>
    </row>
    <row r="13" spans="1:156">
      <c r="A13" s="36">
        <v>1</v>
      </c>
      <c r="B13" s="31">
        <v>345</v>
      </c>
      <c r="D13" s="38" t="s">
        <v>52</v>
      </c>
      <c r="E13" s="31">
        <f>SUM(B13:B22)</f>
        <v>4948</v>
      </c>
    </row>
    <row r="14" spans="1:156">
      <c r="A14" s="36">
        <v>2</v>
      </c>
      <c r="B14" s="31">
        <v>231</v>
      </c>
    </row>
    <row r="15" spans="1:156">
      <c r="A15" s="36">
        <v>3</v>
      </c>
      <c r="B15" s="31">
        <v>120</v>
      </c>
      <c r="D15" s="38" t="s">
        <v>51</v>
      </c>
      <c r="E15" s="37">
        <f>SUMPRODUCT(B13:B22,A13:A22/E13)</f>
        <v>5.639248181083266</v>
      </c>
    </row>
    <row r="16" spans="1:156">
      <c r="A16" s="36">
        <v>4</v>
      </c>
      <c r="B16" s="31">
        <v>645</v>
      </c>
    </row>
    <row r="17" spans="1:156">
      <c r="A17" s="36">
        <v>5</v>
      </c>
      <c r="B17" s="31">
        <v>784</v>
      </c>
    </row>
    <row r="18" spans="1:156">
      <c r="A18" s="36">
        <v>6</v>
      </c>
      <c r="B18" s="31">
        <v>982</v>
      </c>
    </row>
    <row r="19" spans="1:156">
      <c r="A19" s="36">
        <v>7</v>
      </c>
      <c r="B19" s="31">
        <v>852</v>
      </c>
    </row>
    <row r="20" spans="1:156">
      <c r="A20" s="36">
        <v>8</v>
      </c>
      <c r="B20" s="31">
        <v>640</v>
      </c>
    </row>
    <row r="21" spans="1:156">
      <c r="A21" s="36">
        <v>9</v>
      </c>
      <c r="B21" s="31">
        <v>230</v>
      </c>
    </row>
    <row r="22" spans="1:156">
      <c r="A22" s="36">
        <v>10</v>
      </c>
      <c r="B22" s="31">
        <v>119</v>
      </c>
    </row>
    <row r="24" spans="1:156">
      <c r="A24" s="30"/>
      <c r="B24" s="30"/>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0"/>
      <c r="BH24" s="30"/>
      <c r="BI24" s="30"/>
      <c r="BJ24" s="30"/>
      <c r="BK24" s="30"/>
      <c r="BL24" s="30"/>
      <c r="BM24" s="30"/>
      <c r="BN24" s="30"/>
      <c r="BO24" s="30"/>
      <c r="BP24" s="30"/>
      <c r="BQ24" s="30"/>
      <c r="BR24" s="30"/>
      <c r="BS24" s="30"/>
      <c r="BT24" s="30"/>
      <c r="BU24" s="30"/>
      <c r="BV24" s="30"/>
      <c r="BW24" s="30"/>
      <c r="BX24" s="30"/>
      <c r="BY24" s="30"/>
      <c r="BZ24" s="30"/>
      <c r="CA24" s="30"/>
      <c r="CB24" s="30"/>
      <c r="CC24" s="30"/>
      <c r="CD24" s="30"/>
      <c r="CE24" s="30"/>
      <c r="CF24" s="30"/>
      <c r="CG24" s="30"/>
      <c r="CH24" s="30"/>
      <c r="CI24" s="30"/>
      <c r="CJ24" s="30"/>
      <c r="CK24" s="30"/>
      <c r="CL24" s="30"/>
      <c r="CM24" s="30"/>
      <c r="CN24" s="30"/>
      <c r="CO24" s="30"/>
      <c r="CP24" s="30"/>
      <c r="CQ24" s="30"/>
      <c r="CR24" s="30"/>
      <c r="CS24" s="30"/>
      <c r="CT24" s="30"/>
      <c r="CU24" s="30"/>
      <c r="CV24" s="30"/>
      <c r="CW24" s="30"/>
      <c r="CX24" s="30"/>
      <c r="CY24" s="30"/>
      <c r="CZ24" s="30"/>
      <c r="DA24" s="30"/>
      <c r="DB24" s="30"/>
      <c r="DC24" s="30"/>
      <c r="DD24" s="30"/>
      <c r="DE24" s="30"/>
      <c r="DF24" s="30"/>
      <c r="DG24" s="30"/>
      <c r="DH24" s="30"/>
      <c r="DI24" s="30"/>
      <c r="DJ24" s="30"/>
      <c r="DK24" s="30"/>
      <c r="DL24" s="30"/>
      <c r="DM24" s="30"/>
      <c r="DN24" s="30"/>
      <c r="DO24" s="30"/>
      <c r="DP24" s="30"/>
      <c r="DQ24" s="30"/>
      <c r="DR24" s="30"/>
      <c r="DS24" s="30"/>
      <c r="DT24" s="30"/>
      <c r="DU24" s="30"/>
      <c r="DV24" s="30"/>
      <c r="DW24" s="30"/>
      <c r="DX24" s="30"/>
      <c r="DY24" s="30"/>
      <c r="DZ24" s="30"/>
      <c r="EA24" s="30"/>
      <c r="EB24" s="30"/>
      <c r="EC24" s="30"/>
      <c r="ED24" s="30"/>
      <c r="EE24" s="30"/>
      <c r="EF24" s="30"/>
      <c r="EG24" s="30"/>
      <c r="EH24" s="30"/>
      <c r="EI24" s="30"/>
      <c r="EJ24" s="30"/>
      <c r="EK24" s="30"/>
      <c r="EL24" s="30"/>
      <c r="EM24" s="30"/>
      <c r="EN24" s="30"/>
      <c r="EO24" s="30"/>
      <c r="EP24" s="30"/>
      <c r="EQ24" s="30"/>
      <c r="ER24" s="30"/>
      <c r="ES24" s="30"/>
      <c r="ET24" s="30"/>
      <c r="EU24" s="30"/>
      <c r="EV24" s="30"/>
      <c r="EW24" s="30"/>
      <c r="EX24" s="30"/>
      <c r="EY24" s="30"/>
      <c r="EZ24" s="30"/>
    </row>
    <row r="26" spans="1:156">
      <c r="A26" s="183" t="s">
        <v>61</v>
      </c>
      <c r="B26" s="183"/>
      <c r="C26" s="183"/>
      <c r="D26" s="183"/>
      <c r="E26" s="183"/>
    </row>
    <row r="28" spans="1:156">
      <c r="A28" s="43" t="s">
        <v>60</v>
      </c>
      <c r="B28" s="43" t="s">
        <v>59</v>
      </c>
      <c r="D28" s="183" t="s">
        <v>58</v>
      </c>
      <c r="E28" s="183"/>
    </row>
    <row r="29" spans="1:156">
      <c r="A29" s="42">
        <v>20</v>
      </c>
      <c r="B29" s="41">
        <v>500</v>
      </c>
      <c r="D29" s="184">
        <f>SUMPRODUCT(B29:B31,A29:A31/SUM(B29:B31))</f>
        <v>24.655172413793103</v>
      </c>
      <c r="E29" s="184"/>
    </row>
    <row r="30" spans="1:156">
      <c r="A30" s="42">
        <v>25</v>
      </c>
      <c r="B30" s="41">
        <v>750</v>
      </c>
    </row>
    <row r="31" spans="1:156">
      <c r="A31" s="42">
        <v>35</v>
      </c>
      <c r="B31" s="41">
        <v>200</v>
      </c>
    </row>
    <row r="32" spans="1:156">
      <c r="A32" s="40"/>
    </row>
    <row r="33" spans="1:156">
      <c r="A33" s="185" t="s">
        <v>57</v>
      </c>
      <c r="B33" s="185"/>
      <c r="C33" s="185"/>
      <c r="D33" s="185"/>
      <c r="E33" s="185"/>
    </row>
    <row r="34" spans="1:156">
      <c r="A34" s="185"/>
      <c r="B34" s="185"/>
      <c r="C34" s="185"/>
      <c r="D34" s="185"/>
      <c r="E34" s="185"/>
    </row>
    <row r="36" spans="1:156">
      <c r="A36" t="s">
        <v>56</v>
      </c>
    </row>
    <row r="38" spans="1:156">
      <c r="A38" s="30"/>
      <c r="B38" s="30"/>
      <c r="C38" s="30"/>
      <c r="D38" s="30"/>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0"/>
      <c r="AH38" s="30"/>
      <c r="AI38" s="30"/>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0"/>
      <c r="BH38" s="30"/>
      <c r="BI38" s="30"/>
      <c r="BJ38" s="30"/>
      <c r="BK38" s="30"/>
      <c r="BL38" s="30"/>
      <c r="BM38" s="30"/>
      <c r="BN38" s="30"/>
      <c r="BO38" s="30"/>
      <c r="BP38" s="30"/>
      <c r="BQ38" s="30"/>
      <c r="BR38" s="30"/>
      <c r="BS38" s="30"/>
      <c r="BT38" s="30"/>
      <c r="BU38" s="30"/>
      <c r="BV38" s="30"/>
      <c r="BW38" s="30"/>
      <c r="BX38" s="30"/>
      <c r="BY38" s="30"/>
      <c r="BZ38" s="30"/>
      <c r="CA38" s="30"/>
      <c r="CB38" s="30"/>
      <c r="CC38" s="30"/>
      <c r="CD38" s="30"/>
      <c r="CE38" s="30"/>
      <c r="CF38" s="30"/>
      <c r="CG38" s="30"/>
      <c r="CH38" s="30"/>
      <c r="CI38" s="30"/>
      <c r="CJ38" s="30"/>
      <c r="CK38" s="30"/>
      <c r="CL38" s="30"/>
      <c r="CM38" s="30"/>
      <c r="CN38" s="30"/>
      <c r="CO38" s="30"/>
      <c r="CP38" s="30"/>
      <c r="CQ38" s="30"/>
      <c r="CR38" s="30"/>
      <c r="CS38" s="30"/>
      <c r="CT38" s="30"/>
      <c r="CU38" s="30"/>
      <c r="CV38" s="30"/>
      <c r="CW38" s="30"/>
      <c r="CX38" s="30"/>
      <c r="CY38" s="30"/>
      <c r="CZ38" s="30"/>
      <c r="DA38" s="30"/>
      <c r="DB38" s="30"/>
      <c r="DC38" s="30"/>
      <c r="DD38" s="30"/>
      <c r="DE38" s="30"/>
      <c r="DF38" s="30"/>
      <c r="DG38" s="30"/>
      <c r="DH38" s="30"/>
      <c r="DI38" s="30"/>
      <c r="DJ38" s="30"/>
      <c r="DK38" s="30"/>
      <c r="DL38" s="30"/>
      <c r="DM38" s="30"/>
      <c r="DN38" s="30"/>
      <c r="DO38" s="30"/>
      <c r="DP38" s="30"/>
      <c r="DQ38" s="30"/>
      <c r="DR38" s="30"/>
      <c r="DS38" s="30"/>
      <c r="DT38" s="30"/>
      <c r="DU38" s="30"/>
      <c r="DV38" s="30"/>
      <c r="DW38" s="30"/>
      <c r="DX38" s="30"/>
      <c r="DY38" s="30"/>
      <c r="DZ38" s="30"/>
      <c r="EA38" s="30"/>
      <c r="EB38" s="30"/>
      <c r="EC38" s="30"/>
      <c r="ED38" s="30"/>
      <c r="EE38" s="30"/>
      <c r="EF38" s="30"/>
      <c r="EG38" s="30"/>
      <c r="EH38" s="30"/>
      <c r="EI38" s="30"/>
      <c r="EJ38" s="30"/>
      <c r="EK38" s="30"/>
      <c r="EL38" s="30"/>
      <c r="EM38" s="30"/>
      <c r="EN38" s="30"/>
      <c r="EO38" s="30"/>
      <c r="EP38" s="30"/>
      <c r="EQ38" s="30"/>
      <c r="ER38" s="30"/>
      <c r="ES38" s="30"/>
      <c r="ET38" s="30"/>
      <c r="EU38" s="30"/>
      <c r="EV38" s="30"/>
      <c r="EW38" s="30"/>
      <c r="EX38" s="30"/>
      <c r="EY38" s="30"/>
      <c r="EZ38" s="30"/>
    </row>
  </sheetData>
  <mergeCells count="5">
    <mergeCell ref="A10:F10"/>
    <mergeCell ref="D28:E28"/>
    <mergeCell ref="D29:E29"/>
    <mergeCell ref="A26:E26"/>
    <mergeCell ref="A33:E34"/>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29236-3D06-492A-AA99-6930633FF8DF}">
  <dimension ref="A1:F61"/>
  <sheetViews>
    <sheetView showGridLines="0" tabSelected="1" workbookViewId="0">
      <pane xSplit="6" ySplit="10" topLeftCell="G11" activePane="bottomRight" state="frozenSplit"/>
      <selection pane="topRight" activeCell="L16" sqref="L16"/>
      <selection pane="bottomLeft" activeCell="A18" sqref="A18"/>
      <selection pane="bottomRight" activeCell="K19" sqref="K19"/>
    </sheetView>
  </sheetViews>
  <sheetFormatPr defaultRowHeight="15"/>
  <cols>
    <col min="1" max="1" width="13.7109375" bestFit="1" customWidth="1"/>
    <col min="2" max="2" width="33.28515625" bestFit="1" customWidth="1"/>
    <col min="3" max="3" width="15.42578125" bestFit="1" customWidth="1"/>
    <col min="4" max="4" width="15.5703125" bestFit="1" customWidth="1"/>
    <col min="5" max="5" width="19.7109375" style="32" customWidth="1"/>
    <col min="6" max="6" width="24.7109375" customWidth="1"/>
  </cols>
  <sheetData>
    <row r="1" spans="1:6" ht="15" customHeight="1">
      <c r="A1" s="186" t="s">
        <v>224</v>
      </c>
      <c r="B1" s="187"/>
      <c r="C1" s="187"/>
      <c r="D1" s="187"/>
      <c r="E1" s="187"/>
      <c r="F1" s="188"/>
    </row>
    <row r="2" spans="1:6" ht="8.25" customHeight="1" thickBot="1">
      <c r="A2" s="189"/>
      <c r="B2" s="190"/>
      <c r="C2" s="190"/>
      <c r="D2" s="190"/>
      <c r="E2" s="190"/>
      <c r="F2" s="191"/>
    </row>
    <row r="3" spans="1:6" ht="15.75" hidden="1" customHeight="1" thickBot="1">
      <c r="A3" s="192"/>
      <c r="B3" s="193"/>
      <c r="C3" s="193"/>
      <c r="D3" s="193"/>
      <c r="E3" s="193"/>
      <c r="F3" s="194"/>
    </row>
    <row r="4" spans="1:6">
      <c r="A4" s="168"/>
      <c r="B4" s="169"/>
      <c r="C4" s="169"/>
      <c r="D4" s="169"/>
      <c r="E4" s="169"/>
      <c r="F4" s="170"/>
    </row>
    <row r="5" spans="1:6">
      <c r="A5" s="171"/>
      <c r="B5" s="172"/>
      <c r="C5" s="172"/>
      <c r="D5" s="172"/>
      <c r="E5" s="172"/>
      <c r="F5" s="173"/>
    </row>
    <row r="6" spans="1:6">
      <c r="A6" s="171"/>
      <c r="B6" s="172"/>
      <c r="C6" s="172"/>
      <c r="D6" s="172"/>
      <c r="E6" s="172"/>
      <c r="F6" s="173"/>
    </row>
    <row r="7" spans="1:6">
      <c r="A7" s="171"/>
      <c r="B7" s="172"/>
      <c r="C7" s="172"/>
      <c r="D7" s="172"/>
      <c r="E7" s="172"/>
      <c r="F7" s="173"/>
    </row>
    <row r="8" spans="1:6">
      <c r="A8" s="171"/>
      <c r="B8" s="172"/>
      <c r="C8" s="172"/>
      <c r="D8" s="172"/>
      <c r="E8" s="172"/>
      <c r="F8" s="173"/>
    </row>
    <row r="9" spans="1:6" ht="9.75" customHeight="1" thickBot="1">
      <c r="A9" s="174"/>
      <c r="B9" s="175"/>
      <c r="C9" s="175"/>
      <c r="D9" s="175"/>
      <c r="E9" s="175"/>
      <c r="F9" s="176"/>
    </row>
    <row r="10" spans="1:6" ht="15.75" thickBot="1">
      <c r="A10" s="77" t="s">
        <v>223</v>
      </c>
      <c r="B10" s="77" t="s">
        <v>222</v>
      </c>
      <c r="C10" s="77" t="s">
        <v>221</v>
      </c>
      <c r="D10" s="77" t="s">
        <v>220</v>
      </c>
      <c r="E10" s="77" t="s">
        <v>219</v>
      </c>
      <c r="F10" s="76" t="s">
        <v>218</v>
      </c>
    </row>
    <row r="11" spans="1:6" ht="15.75" thickBot="1">
      <c r="A11" s="75">
        <v>10101745</v>
      </c>
      <c r="B11" s="74" t="s">
        <v>200</v>
      </c>
      <c r="C11" s="74" t="s">
        <v>199</v>
      </c>
      <c r="D11" s="74" t="s">
        <v>198</v>
      </c>
      <c r="E11" s="166">
        <v>21</v>
      </c>
      <c r="F11" s="73" t="e" vm="1">
        <v>#VALUE!</v>
      </c>
    </row>
    <row r="12" spans="1:6" ht="15.75" thickBot="1">
      <c r="A12" s="75">
        <v>10100916</v>
      </c>
      <c r="B12" s="74" t="s">
        <v>208</v>
      </c>
      <c r="C12" s="74" t="s">
        <v>108</v>
      </c>
      <c r="D12" s="74" t="s">
        <v>114</v>
      </c>
      <c r="E12" s="166">
        <v>10</v>
      </c>
      <c r="F12" s="73" t="e" vm="2">
        <v>#VALUE!</v>
      </c>
    </row>
    <row r="13" spans="1:6" ht="15.75" thickBot="1">
      <c r="A13" s="75">
        <v>10101965</v>
      </c>
      <c r="B13" s="74" t="s">
        <v>187</v>
      </c>
      <c r="C13" s="74" t="s">
        <v>186</v>
      </c>
      <c r="D13" s="74" t="s">
        <v>123</v>
      </c>
      <c r="E13" s="166">
        <v>29</v>
      </c>
      <c r="F13" s="73" t="e" vm="3">
        <v>#VALUE!</v>
      </c>
    </row>
    <row r="14" spans="1:6" ht="15.75" thickBot="1">
      <c r="A14" s="75">
        <v>10100877</v>
      </c>
      <c r="B14" s="74" t="s">
        <v>215</v>
      </c>
      <c r="C14" s="74" t="s">
        <v>158</v>
      </c>
      <c r="D14" s="74" t="s">
        <v>160</v>
      </c>
      <c r="E14" s="166">
        <v>7</v>
      </c>
      <c r="F14" s="73" t="e" vm="4">
        <v>#VALUE!</v>
      </c>
    </row>
    <row r="15" spans="1:6" ht="15.75" thickBot="1">
      <c r="A15" s="75">
        <v>10100913</v>
      </c>
      <c r="B15" s="74" t="s">
        <v>211</v>
      </c>
      <c r="C15" s="74" t="s">
        <v>210</v>
      </c>
      <c r="D15" s="74" t="s">
        <v>209</v>
      </c>
      <c r="E15" s="166">
        <v>6</v>
      </c>
      <c r="F15" s="73" t="e" vm="4">
        <v>#VALUE!</v>
      </c>
    </row>
    <row r="16" spans="1:6" ht="15.75" thickBot="1">
      <c r="A16" s="75">
        <v>20100080</v>
      </c>
      <c r="B16" s="74" t="s">
        <v>167</v>
      </c>
      <c r="C16" s="74" t="s">
        <v>151</v>
      </c>
      <c r="D16" s="74" t="s">
        <v>166</v>
      </c>
      <c r="E16" s="166">
        <v>5</v>
      </c>
      <c r="F16" s="73" t="e" vm="4">
        <v>#VALUE!</v>
      </c>
    </row>
    <row r="17" spans="1:6" ht="15.75" thickBot="1">
      <c r="A17" s="75">
        <v>20100926</v>
      </c>
      <c r="B17" s="74" t="s">
        <v>140</v>
      </c>
      <c r="C17" s="74" t="s">
        <v>139</v>
      </c>
      <c r="D17" s="74" t="s">
        <v>138</v>
      </c>
      <c r="E17" s="166">
        <v>3</v>
      </c>
      <c r="F17" s="73" t="e" vm="4">
        <v>#VALUE!</v>
      </c>
    </row>
    <row r="18" spans="1:6" ht="15.75" thickBot="1">
      <c r="A18" s="75">
        <v>20100928</v>
      </c>
      <c r="B18" s="74" t="s">
        <v>137</v>
      </c>
      <c r="C18" s="74" t="s">
        <v>136</v>
      </c>
      <c r="D18" s="74" t="s">
        <v>135</v>
      </c>
      <c r="E18" s="166">
        <v>1</v>
      </c>
      <c r="F18" s="73" t="e" vm="4">
        <v>#VALUE!</v>
      </c>
    </row>
    <row r="19" spans="1:6" ht="15.75" thickBot="1">
      <c r="A19" s="75">
        <v>60100523</v>
      </c>
      <c r="B19" s="74" t="s">
        <v>120</v>
      </c>
      <c r="C19" s="74" t="s">
        <v>119</v>
      </c>
      <c r="D19" s="74" t="s">
        <v>118</v>
      </c>
      <c r="E19" s="166">
        <v>2</v>
      </c>
      <c r="F19" s="73" t="e" vm="4">
        <v>#VALUE!</v>
      </c>
    </row>
    <row r="20" spans="1:6" ht="15.75" thickBot="1">
      <c r="A20" s="75">
        <v>70100004</v>
      </c>
      <c r="B20" s="74" t="s">
        <v>104</v>
      </c>
      <c r="C20" s="74" t="s">
        <v>103</v>
      </c>
      <c r="D20" s="74" t="s">
        <v>102</v>
      </c>
      <c r="E20" s="166">
        <v>8</v>
      </c>
      <c r="F20" s="73" t="e" vm="4">
        <v>#VALUE!</v>
      </c>
    </row>
    <row r="21" spans="1:6" ht="15.75" thickBot="1">
      <c r="A21" s="75">
        <v>80100001</v>
      </c>
      <c r="B21" s="74" t="s">
        <v>101</v>
      </c>
      <c r="C21" s="74" t="s">
        <v>100</v>
      </c>
      <c r="D21" s="74" t="s">
        <v>99</v>
      </c>
      <c r="E21" s="166">
        <v>4</v>
      </c>
      <c r="F21" s="73" t="e" vm="4">
        <v>#VALUE!</v>
      </c>
    </row>
    <row r="22" spans="1:6" ht="15.75" thickBot="1">
      <c r="A22" s="75">
        <v>10101999</v>
      </c>
      <c r="B22" s="74" t="s">
        <v>185</v>
      </c>
      <c r="C22" s="74" t="s">
        <v>184</v>
      </c>
      <c r="D22" s="74" t="s">
        <v>183</v>
      </c>
      <c r="E22" s="166">
        <v>26</v>
      </c>
      <c r="F22" s="73" t="e" vm="5">
        <v>#VALUE!</v>
      </c>
    </row>
    <row r="23" spans="1:6" ht="15.75" thickBot="1">
      <c r="A23" s="75">
        <v>10100910</v>
      </c>
      <c r="B23" s="74" t="s">
        <v>214</v>
      </c>
      <c r="C23" s="74" t="s">
        <v>213</v>
      </c>
      <c r="D23" s="74" t="s">
        <v>212</v>
      </c>
      <c r="E23" s="166">
        <v>2</v>
      </c>
      <c r="F23" s="73" t="e" vm="6">
        <v>#VALUE!</v>
      </c>
    </row>
    <row r="24" spans="1:6" ht="15.75" thickBot="1">
      <c r="A24" s="75">
        <v>20100190</v>
      </c>
      <c r="B24" s="74" t="s">
        <v>156</v>
      </c>
      <c r="C24" s="74" t="s">
        <v>155</v>
      </c>
      <c r="D24" s="74" t="s">
        <v>142</v>
      </c>
      <c r="E24" s="166">
        <v>1</v>
      </c>
      <c r="F24" s="73" t="e" vm="6">
        <v>#VALUE!</v>
      </c>
    </row>
    <row r="25" spans="1:6" ht="15.75" thickBot="1">
      <c r="A25" s="75">
        <v>60100736</v>
      </c>
      <c r="B25" s="74" t="s">
        <v>110</v>
      </c>
      <c r="C25" s="74" t="s">
        <v>109</v>
      </c>
      <c r="D25" s="74" t="s">
        <v>108</v>
      </c>
      <c r="E25" s="166">
        <v>3</v>
      </c>
      <c r="F25" s="73" t="e" vm="6">
        <v>#VALUE!</v>
      </c>
    </row>
    <row r="26" spans="1:6" ht="15.75" thickBot="1">
      <c r="A26" s="75">
        <v>20100225</v>
      </c>
      <c r="B26" s="74" t="s">
        <v>152</v>
      </c>
      <c r="C26" s="74" t="s">
        <v>151</v>
      </c>
      <c r="D26" s="74" t="s">
        <v>150</v>
      </c>
      <c r="E26" s="166">
        <v>2</v>
      </c>
      <c r="F26" s="73" t="e" vm="7">
        <v>#VALUE!</v>
      </c>
    </row>
    <row r="27" spans="1:6" ht="15.75" thickBot="1">
      <c r="A27" s="75">
        <v>20100778</v>
      </c>
      <c r="B27" s="74" t="s">
        <v>149</v>
      </c>
      <c r="C27" s="74" t="s">
        <v>126</v>
      </c>
      <c r="D27" s="74" t="s">
        <v>148</v>
      </c>
      <c r="E27" s="166">
        <v>1</v>
      </c>
      <c r="F27" s="73" t="e" vm="7">
        <v>#VALUE!</v>
      </c>
    </row>
    <row r="28" spans="1:6" ht="15.75" thickBot="1">
      <c r="A28" s="75">
        <v>60100297</v>
      </c>
      <c r="B28" s="74" t="s">
        <v>127</v>
      </c>
      <c r="C28" s="74" t="s">
        <v>126</v>
      </c>
      <c r="D28" s="74" t="s">
        <v>125</v>
      </c>
      <c r="E28" s="166">
        <v>34</v>
      </c>
      <c r="F28" s="73" t="e" vm="8">
        <v>#VALUE!</v>
      </c>
    </row>
    <row r="29" spans="1:6" ht="15.75" thickBot="1">
      <c r="A29" s="75">
        <v>60100625</v>
      </c>
      <c r="B29" s="74" t="s">
        <v>117</v>
      </c>
      <c r="C29" s="74" t="s">
        <v>103</v>
      </c>
      <c r="D29" s="74" t="s">
        <v>116</v>
      </c>
      <c r="E29" s="166">
        <v>48</v>
      </c>
      <c r="F29" s="73" t="e" vm="9">
        <v>#VALUE!</v>
      </c>
    </row>
    <row r="30" spans="1:6" ht="15.75" thickBot="1">
      <c r="A30" s="75">
        <v>10101906</v>
      </c>
      <c r="B30" s="74" t="s">
        <v>194</v>
      </c>
      <c r="C30" s="74" t="s">
        <v>193</v>
      </c>
      <c r="D30" s="74" t="s">
        <v>192</v>
      </c>
      <c r="E30" s="166">
        <v>31</v>
      </c>
      <c r="F30" s="73" t="e" vm="9">
        <v>#VALUE!</v>
      </c>
    </row>
    <row r="31" spans="1:6" ht="15.75" thickBot="1">
      <c r="A31" s="75">
        <v>10101942</v>
      </c>
      <c r="B31" s="74" t="s">
        <v>190</v>
      </c>
      <c r="C31" s="74" t="s">
        <v>189</v>
      </c>
      <c r="D31" s="74" t="s">
        <v>188</v>
      </c>
      <c r="E31" s="166">
        <v>16</v>
      </c>
      <c r="F31" s="73" t="e" vm="10">
        <v>#VALUE!</v>
      </c>
    </row>
    <row r="32" spans="1:6" ht="15.75" thickBot="1">
      <c r="A32" s="75">
        <v>10101810</v>
      </c>
      <c r="B32" s="74" t="s">
        <v>196</v>
      </c>
      <c r="C32" s="74" t="s">
        <v>103</v>
      </c>
      <c r="D32" s="74" t="s">
        <v>195</v>
      </c>
      <c r="E32" s="166">
        <v>37</v>
      </c>
      <c r="F32" s="73" t="e" vm="10">
        <v>#VALUE!</v>
      </c>
    </row>
    <row r="33" spans="1:6" ht="15.75" thickBot="1">
      <c r="A33" s="75">
        <v>10101724</v>
      </c>
      <c r="B33" s="74" t="s">
        <v>203</v>
      </c>
      <c r="C33" s="74" t="s">
        <v>202</v>
      </c>
      <c r="D33" s="74" t="s">
        <v>201</v>
      </c>
      <c r="E33" s="166">
        <v>17</v>
      </c>
      <c r="F33" s="73" t="e" vm="10">
        <v>#VALUE!</v>
      </c>
    </row>
    <row r="34" spans="1:6" ht="15.75" thickBot="1">
      <c r="A34" s="75">
        <v>10101588</v>
      </c>
      <c r="B34" s="74" t="s">
        <v>204</v>
      </c>
      <c r="C34" s="74" t="s">
        <v>109</v>
      </c>
      <c r="D34" s="74" t="s">
        <v>112</v>
      </c>
      <c r="E34" s="166">
        <v>47</v>
      </c>
      <c r="F34" s="73" t="e" vm="10">
        <v>#VALUE!</v>
      </c>
    </row>
    <row r="35" spans="1:6" ht="15.75" thickBot="1">
      <c r="A35" s="75">
        <v>10101792</v>
      </c>
      <c r="B35" s="74" t="s">
        <v>197</v>
      </c>
      <c r="C35" s="74" t="s">
        <v>155</v>
      </c>
      <c r="D35" s="74" t="s">
        <v>142</v>
      </c>
      <c r="E35" s="166">
        <v>5</v>
      </c>
      <c r="F35" s="73" t="e" vm="10">
        <v>#VALUE!</v>
      </c>
    </row>
    <row r="36" spans="1:6" ht="15.75" thickBot="1">
      <c r="A36" s="75">
        <v>10100865</v>
      </c>
      <c r="B36" s="74" t="s">
        <v>217</v>
      </c>
      <c r="C36" s="74" t="s">
        <v>106</v>
      </c>
      <c r="D36" s="74" t="s">
        <v>216</v>
      </c>
      <c r="E36" s="166">
        <v>45</v>
      </c>
      <c r="F36" s="73" t="e" vm="10">
        <v>#VALUE!</v>
      </c>
    </row>
    <row r="37" spans="1:6" ht="15.75" thickBot="1">
      <c r="A37" s="75">
        <v>10100938</v>
      </c>
      <c r="B37" s="74" t="s">
        <v>207</v>
      </c>
      <c r="C37" s="74" t="s">
        <v>206</v>
      </c>
      <c r="D37" s="74" t="s">
        <v>205</v>
      </c>
      <c r="E37" s="166">
        <v>2</v>
      </c>
      <c r="F37" s="73" t="e" vm="10">
        <v>#VALUE!</v>
      </c>
    </row>
    <row r="38" spans="1:6" ht="15.75" thickBot="1">
      <c r="A38" s="75">
        <v>10101930</v>
      </c>
      <c r="B38" s="74" t="s">
        <v>191</v>
      </c>
      <c r="C38" s="74" t="s">
        <v>109</v>
      </c>
      <c r="D38" s="74" t="s">
        <v>183</v>
      </c>
      <c r="E38" s="166">
        <v>25</v>
      </c>
      <c r="F38" s="73" t="e" vm="10">
        <v>#VALUE!</v>
      </c>
    </row>
    <row r="39" spans="1:6" ht="15.75" thickBot="1">
      <c r="A39" s="75">
        <v>10102001</v>
      </c>
      <c r="B39" s="74" t="s">
        <v>182</v>
      </c>
      <c r="C39" s="74" t="s">
        <v>103</v>
      </c>
      <c r="D39" s="74" t="s">
        <v>181</v>
      </c>
      <c r="E39" s="166">
        <v>46</v>
      </c>
      <c r="F39" s="73" t="e" vm="10">
        <v>#VALUE!</v>
      </c>
    </row>
    <row r="40" spans="1:6" ht="15.75" thickBot="1">
      <c r="A40" s="75">
        <v>10102034</v>
      </c>
      <c r="B40" s="74" t="s">
        <v>180</v>
      </c>
      <c r="C40" s="74" t="s">
        <v>179</v>
      </c>
      <c r="D40" s="74" t="s">
        <v>135</v>
      </c>
      <c r="E40" s="166">
        <v>11</v>
      </c>
      <c r="F40" s="73" t="e" vm="10">
        <v>#VALUE!</v>
      </c>
    </row>
    <row r="41" spans="1:6" ht="15.75" thickBot="1">
      <c r="A41" s="75">
        <v>10102117</v>
      </c>
      <c r="B41" s="74" t="s">
        <v>178</v>
      </c>
      <c r="C41" s="74" t="s">
        <v>100</v>
      </c>
      <c r="D41" s="74" t="s">
        <v>177</v>
      </c>
      <c r="E41" s="166">
        <v>27</v>
      </c>
      <c r="F41" s="73" t="e" vm="10">
        <v>#VALUE!</v>
      </c>
    </row>
    <row r="42" spans="1:6" ht="15.75" thickBot="1">
      <c r="A42" s="75">
        <v>10102140</v>
      </c>
      <c r="B42" s="74" t="s">
        <v>176</v>
      </c>
      <c r="C42" s="74" t="s">
        <v>106</v>
      </c>
      <c r="D42" s="74" t="s">
        <v>175</v>
      </c>
      <c r="E42" s="166">
        <v>41</v>
      </c>
      <c r="F42" s="73" t="e" vm="10">
        <v>#VALUE!</v>
      </c>
    </row>
    <row r="43" spans="1:6" ht="15.75" thickBot="1">
      <c r="A43" s="75">
        <v>20100019</v>
      </c>
      <c r="B43" s="74" t="s">
        <v>174</v>
      </c>
      <c r="C43" s="74" t="s">
        <v>173</v>
      </c>
      <c r="D43" s="74" t="s">
        <v>172</v>
      </c>
      <c r="E43" s="166">
        <v>24</v>
      </c>
      <c r="F43" s="73" t="e" vm="10">
        <v>#VALUE!</v>
      </c>
    </row>
    <row r="44" spans="1:6" ht="15.75" thickBot="1">
      <c r="A44" s="75">
        <v>20100020</v>
      </c>
      <c r="B44" s="74" t="s">
        <v>171</v>
      </c>
      <c r="C44" s="74" t="s">
        <v>126</v>
      </c>
      <c r="D44" s="74" t="s">
        <v>170</v>
      </c>
      <c r="E44" s="166">
        <v>42</v>
      </c>
      <c r="F44" s="73" t="e" vm="10">
        <v>#VALUE!</v>
      </c>
    </row>
    <row r="45" spans="1:6" ht="15.75" thickBot="1">
      <c r="A45" s="75">
        <v>20100076</v>
      </c>
      <c r="B45" s="74" t="s">
        <v>169</v>
      </c>
      <c r="C45" s="74" t="s">
        <v>168</v>
      </c>
      <c r="D45" s="74" t="s">
        <v>111</v>
      </c>
      <c r="E45" s="166">
        <v>14</v>
      </c>
      <c r="F45" s="73" t="e" vm="10">
        <v>#VALUE!</v>
      </c>
    </row>
    <row r="46" spans="1:6" ht="15.75" thickBot="1">
      <c r="A46" s="75">
        <v>20100087</v>
      </c>
      <c r="B46" s="74" t="s">
        <v>165</v>
      </c>
      <c r="C46" s="74" t="s">
        <v>126</v>
      </c>
      <c r="D46" s="74" t="s">
        <v>125</v>
      </c>
      <c r="E46" s="166">
        <v>33</v>
      </c>
      <c r="F46" s="73" t="e" vm="10">
        <v>#VALUE!</v>
      </c>
    </row>
    <row r="47" spans="1:6" ht="15.75" thickBot="1">
      <c r="A47" s="75">
        <v>20100097</v>
      </c>
      <c r="B47" s="74" t="s">
        <v>164</v>
      </c>
      <c r="C47" s="74" t="s">
        <v>163</v>
      </c>
      <c r="D47" s="74" t="s">
        <v>162</v>
      </c>
      <c r="E47" s="166">
        <v>30</v>
      </c>
      <c r="F47" s="73" t="e" vm="10">
        <v>#VALUE!</v>
      </c>
    </row>
    <row r="48" spans="1:6" ht="15.75" thickBot="1">
      <c r="A48" s="75">
        <v>20100130</v>
      </c>
      <c r="B48" s="74" t="s">
        <v>161</v>
      </c>
      <c r="C48" s="74" t="s">
        <v>158</v>
      </c>
      <c r="D48" s="74" t="s">
        <v>160</v>
      </c>
      <c r="E48" s="166">
        <v>40</v>
      </c>
      <c r="F48" s="73" t="e" vm="10">
        <v>#VALUE!</v>
      </c>
    </row>
    <row r="49" spans="1:6" ht="15.75" thickBot="1">
      <c r="A49" s="75">
        <v>20100171</v>
      </c>
      <c r="B49" s="74" t="s">
        <v>159</v>
      </c>
      <c r="C49" s="74" t="s">
        <v>158</v>
      </c>
      <c r="D49" s="74" t="s">
        <v>157</v>
      </c>
      <c r="E49" s="166">
        <v>43</v>
      </c>
      <c r="F49" s="73" t="e" vm="10">
        <v>#VALUE!</v>
      </c>
    </row>
    <row r="50" spans="1:6" ht="15.75" thickBot="1">
      <c r="A50" s="75">
        <v>20100193</v>
      </c>
      <c r="B50" s="74" t="s">
        <v>154</v>
      </c>
      <c r="C50" s="74" t="s">
        <v>106</v>
      </c>
      <c r="D50" s="74" t="s">
        <v>153</v>
      </c>
      <c r="E50" s="166">
        <v>35</v>
      </c>
      <c r="F50" s="73" t="e" vm="10">
        <v>#VALUE!</v>
      </c>
    </row>
    <row r="51" spans="1:6" ht="15.75" thickBot="1">
      <c r="A51" s="75">
        <v>20100793</v>
      </c>
      <c r="B51" s="74" t="s">
        <v>147</v>
      </c>
      <c r="C51" s="74" t="s">
        <v>146</v>
      </c>
      <c r="D51" s="74" t="s">
        <v>145</v>
      </c>
      <c r="E51" s="166">
        <v>23</v>
      </c>
      <c r="F51" s="73" t="e" vm="10">
        <v>#VALUE!</v>
      </c>
    </row>
    <row r="52" spans="1:6" ht="15.75" thickBot="1">
      <c r="A52" s="75">
        <v>20100842</v>
      </c>
      <c r="B52" s="74" t="s">
        <v>144</v>
      </c>
      <c r="C52" s="74" t="s">
        <v>143</v>
      </c>
      <c r="D52" s="74" t="s">
        <v>142</v>
      </c>
      <c r="E52" s="166">
        <v>4</v>
      </c>
      <c r="F52" s="73" t="e" vm="10">
        <v>#VALUE!</v>
      </c>
    </row>
    <row r="53" spans="1:6" ht="15.75" thickBot="1">
      <c r="A53" s="75">
        <v>20100889</v>
      </c>
      <c r="B53" s="74" t="s">
        <v>141</v>
      </c>
      <c r="C53" s="74" t="s">
        <v>100</v>
      </c>
      <c r="D53" s="74" t="s">
        <v>99</v>
      </c>
      <c r="E53" s="166">
        <v>19</v>
      </c>
      <c r="F53" s="73" t="e" vm="10">
        <v>#VALUE!</v>
      </c>
    </row>
    <row r="54" spans="1:6" ht="15.75" thickBot="1">
      <c r="A54" s="75">
        <v>20100951</v>
      </c>
      <c r="B54" s="74" t="s">
        <v>134</v>
      </c>
      <c r="C54" s="74" t="s">
        <v>126</v>
      </c>
      <c r="D54" s="74" t="s">
        <v>133</v>
      </c>
      <c r="E54" s="166">
        <v>36</v>
      </c>
      <c r="F54" s="73" t="e" vm="10">
        <v>#VALUE!</v>
      </c>
    </row>
    <row r="55" spans="1:6" ht="15.75" thickBot="1">
      <c r="A55" s="75">
        <v>20100974</v>
      </c>
      <c r="B55" s="74" t="s">
        <v>132</v>
      </c>
      <c r="C55" s="74" t="s">
        <v>131</v>
      </c>
      <c r="D55" s="74" t="s">
        <v>99</v>
      </c>
      <c r="E55" s="166">
        <v>20</v>
      </c>
      <c r="F55" s="73" t="e" vm="10">
        <v>#VALUE!</v>
      </c>
    </row>
    <row r="56" spans="1:6" ht="15.75" thickBot="1">
      <c r="A56" s="75">
        <v>20100975</v>
      </c>
      <c r="B56" s="74" t="s">
        <v>130</v>
      </c>
      <c r="C56" s="74" t="s">
        <v>129</v>
      </c>
      <c r="D56" s="74" t="s">
        <v>128</v>
      </c>
      <c r="E56" s="166">
        <v>7</v>
      </c>
      <c r="F56" s="73" t="e" vm="10">
        <v>#VALUE!</v>
      </c>
    </row>
    <row r="57" spans="1:6" ht="15.75" thickBot="1">
      <c r="A57" s="75">
        <v>60100304</v>
      </c>
      <c r="B57" s="74" t="s">
        <v>124</v>
      </c>
      <c r="C57" s="74" t="s">
        <v>103</v>
      </c>
      <c r="D57" s="74" t="s">
        <v>123</v>
      </c>
      <c r="E57" s="166">
        <v>28</v>
      </c>
      <c r="F57" s="73" t="e" vm="10">
        <v>#VALUE!</v>
      </c>
    </row>
    <row r="58" spans="1:6" ht="15.75" thickBot="1">
      <c r="A58" s="75">
        <v>60100477</v>
      </c>
      <c r="B58" s="74" t="s">
        <v>122</v>
      </c>
      <c r="C58" s="74" t="s">
        <v>103</v>
      </c>
      <c r="D58" s="74" t="s">
        <v>121</v>
      </c>
      <c r="E58" s="166">
        <v>32</v>
      </c>
      <c r="F58" s="73" t="e" vm="10">
        <v>#VALUE!</v>
      </c>
    </row>
    <row r="59" spans="1:6" ht="15.75" thickBot="1">
      <c r="A59" s="75">
        <v>60100683</v>
      </c>
      <c r="B59" s="74" t="s">
        <v>115</v>
      </c>
      <c r="C59" s="74" t="s">
        <v>112</v>
      </c>
      <c r="D59" s="74" t="s">
        <v>114</v>
      </c>
      <c r="E59" s="166">
        <v>9</v>
      </c>
      <c r="F59" s="73" t="e" vm="10">
        <v>#VALUE!</v>
      </c>
    </row>
    <row r="60" spans="1:6" ht="15.75" thickBot="1">
      <c r="A60" s="75">
        <v>60100707</v>
      </c>
      <c r="B60" s="74" t="s">
        <v>113</v>
      </c>
      <c r="C60" s="74" t="s">
        <v>112</v>
      </c>
      <c r="D60" s="74" t="s">
        <v>111</v>
      </c>
      <c r="E60" s="166">
        <v>15</v>
      </c>
      <c r="F60" s="73" t="e" vm="10">
        <v>#VALUE!</v>
      </c>
    </row>
    <row r="61" spans="1:6">
      <c r="A61" s="72">
        <v>60100813</v>
      </c>
      <c r="B61" s="71" t="s">
        <v>107</v>
      </c>
      <c r="C61" s="71" t="s">
        <v>106</v>
      </c>
      <c r="D61" s="71" t="s">
        <v>105</v>
      </c>
      <c r="E61" s="167">
        <v>49</v>
      </c>
      <c r="F61" s="218" t="e" vm="10">
        <v>#VALUE!</v>
      </c>
    </row>
  </sheetData>
  <mergeCells count="1">
    <mergeCell ref="A1:F3"/>
  </mergeCells>
  <pageMargins left="0.511811024" right="0.511811024" top="0.78740157499999996" bottom="0.78740157499999996" header="0.31496062000000002" footer="0.31496062000000002"/>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288F1-40F4-4F2C-AF62-93437250A7D1}">
  <dimension ref="A1:D7"/>
  <sheetViews>
    <sheetView showGridLines="0" topLeftCell="A4" zoomScale="235" zoomScaleNormal="235" workbookViewId="0">
      <selection activeCell="D7" sqref="D7"/>
    </sheetView>
  </sheetViews>
  <sheetFormatPr defaultRowHeight="15"/>
  <cols>
    <col min="1" max="1" width="11.85546875" bestFit="1" customWidth="1"/>
    <col min="2" max="2" width="6.7109375" bestFit="1" customWidth="1"/>
    <col min="3" max="3" width="8.42578125" bestFit="1" customWidth="1"/>
  </cols>
  <sheetData>
    <row r="1" spans="1:4" ht="18.75">
      <c r="B1" s="55" t="s">
        <v>70</v>
      </c>
      <c r="C1" s="55" t="s">
        <v>71</v>
      </c>
      <c r="D1" s="55" t="s">
        <v>72</v>
      </c>
    </row>
    <row r="2" spans="1:4" ht="18.75">
      <c r="A2" s="56" t="s">
        <v>73</v>
      </c>
      <c r="B2" s="57">
        <v>55</v>
      </c>
      <c r="C2" s="58">
        <v>1.6</v>
      </c>
      <c r="D2" s="58">
        <f>B2/C2^2</f>
        <v>21.484374999999996</v>
      </c>
    </row>
    <row r="3" spans="1:4" ht="18.75">
      <c r="A3" s="56" t="s">
        <v>74</v>
      </c>
      <c r="B3" s="57">
        <v>83</v>
      </c>
      <c r="C3" s="58">
        <v>1.75</v>
      </c>
      <c r="D3" s="58">
        <f t="shared" ref="D3:D7" si="0">B3/C3^2</f>
        <v>27.102040816326532</v>
      </c>
    </row>
    <row r="4" spans="1:4" ht="18.75">
      <c r="A4" s="56" t="s">
        <v>75</v>
      </c>
      <c r="B4" s="57">
        <v>91</v>
      </c>
      <c r="C4" s="58">
        <v>1.89</v>
      </c>
      <c r="D4" s="58">
        <f t="shared" si="0"/>
        <v>25.475210660395845</v>
      </c>
    </row>
    <row r="5" spans="1:4" ht="18.75">
      <c r="A5" s="56" t="s">
        <v>76</v>
      </c>
      <c r="B5" s="57">
        <v>76</v>
      </c>
      <c r="C5" s="58">
        <v>1.82</v>
      </c>
      <c r="D5" s="58">
        <f t="shared" si="0"/>
        <v>22.944088878154812</v>
      </c>
    </row>
    <row r="6" spans="1:4" ht="18.75">
      <c r="A6" s="56" t="s">
        <v>77</v>
      </c>
      <c r="B6" s="57">
        <v>48</v>
      </c>
      <c r="C6" s="57">
        <v>1.68</v>
      </c>
      <c r="D6" s="58">
        <f t="shared" si="0"/>
        <v>17.006802721088437</v>
      </c>
    </row>
    <row r="7" spans="1:4" ht="18.75">
      <c r="A7" s="61" t="s">
        <v>78</v>
      </c>
      <c r="B7" s="57">
        <v>94</v>
      </c>
      <c r="C7" s="58">
        <v>1.71</v>
      </c>
      <c r="D7" s="58">
        <f t="shared" si="0"/>
        <v>32.146643411648029</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F0B2E-BF59-40F1-A1BD-CC51FB434A8D}">
  <dimension ref="A1:C18"/>
  <sheetViews>
    <sheetView showGridLines="0" zoomScale="160" zoomScaleNormal="160" workbookViewId="0">
      <selection activeCell="F14" sqref="F14"/>
    </sheetView>
  </sheetViews>
  <sheetFormatPr defaultRowHeight="15"/>
  <cols>
    <col min="1" max="1" width="12.140625" bestFit="1" customWidth="1"/>
    <col min="2" max="2" width="16" bestFit="1" customWidth="1"/>
    <col min="3" max="3" width="14.42578125" bestFit="1" customWidth="1"/>
  </cols>
  <sheetData>
    <row r="1" spans="1:3">
      <c r="A1" s="195" t="s">
        <v>62</v>
      </c>
      <c r="B1" s="196"/>
      <c r="C1" s="196"/>
    </row>
    <row r="2" spans="1:3">
      <c r="A2" s="44" t="s">
        <v>63</v>
      </c>
      <c r="B2" s="44" t="s">
        <v>64</v>
      </c>
      <c r="C2" s="44" t="s">
        <v>65</v>
      </c>
    </row>
    <row r="3" spans="1:3">
      <c r="A3" s="45">
        <v>42492</v>
      </c>
      <c r="B3" s="46">
        <v>17</v>
      </c>
      <c r="C3" s="47">
        <v>3.0630000000000002</v>
      </c>
    </row>
    <row r="4" spans="1:3">
      <c r="A4" s="48">
        <v>42493</v>
      </c>
      <c r="B4" s="49">
        <v>34</v>
      </c>
      <c r="C4" s="50">
        <v>3.0609999999999999</v>
      </c>
    </row>
    <row r="5" spans="1:3">
      <c r="A5" s="45">
        <v>42494</v>
      </c>
      <c r="B5" s="46">
        <v>24</v>
      </c>
      <c r="C5" s="47">
        <v>3.0579999999999998</v>
      </c>
    </row>
    <row r="6" spans="1:3">
      <c r="A6" s="48">
        <v>42495</v>
      </c>
      <c r="B6" s="49">
        <v>38</v>
      </c>
      <c r="C6" s="50">
        <v>3.056</v>
      </c>
    </row>
    <row r="7" spans="1:3">
      <c r="A7" s="45">
        <v>42496</v>
      </c>
      <c r="B7" s="46">
        <v>24</v>
      </c>
      <c r="C7" s="47">
        <v>3.04816666666667</v>
      </c>
    </row>
    <row r="8" spans="1:3">
      <c r="A8" s="48">
        <v>42497</v>
      </c>
      <c r="B8" s="49">
        <v>37</v>
      </c>
      <c r="C8" s="50">
        <v>3.0569999999999999</v>
      </c>
    </row>
    <row r="9" spans="1:3">
      <c r="A9" s="45">
        <v>42498</v>
      </c>
      <c r="B9" s="46">
        <v>35</v>
      </c>
      <c r="C9" s="47">
        <v>3.0634285714285698</v>
      </c>
    </row>
    <row r="10" spans="1:3">
      <c r="A10" s="48">
        <v>42499</v>
      </c>
      <c r="B10" s="49">
        <v>27</v>
      </c>
      <c r="C10" s="50">
        <v>3.0640000000000001</v>
      </c>
    </row>
    <row r="11" spans="1:3">
      <c r="A11" s="45">
        <v>42500</v>
      </c>
      <c r="B11" s="46">
        <v>15</v>
      </c>
      <c r="C11" s="47">
        <v>3.0649999999999999</v>
      </c>
    </row>
    <row r="12" spans="1:3">
      <c r="A12" s="197" t="s">
        <v>66</v>
      </c>
      <c r="B12" s="198"/>
      <c r="C12" s="51">
        <f>SUMPRODUCT(B3:B11,C3:C11)</f>
        <v>767.85299999999995</v>
      </c>
    </row>
    <row r="13" spans="1:3" ht="15.75" thickBot="1"/>
    <row r="14" spans="1:3" ht="15.75" thickBot="1">
      <c r="B14" s="52" t="s">
        <v>67</v>
      </c>
      <c r="C14" s="53">
        <f>ROUND(C12,2)</f>
        <v>767.85</v>
      </c>
    </row>
    <row r="15" spans="1:3" ht="15.75" thickBot="1">
      <c r="C15" s="54"/>
    </row>
    <row r="16" spans="1:3" ht="15.75" thickBot="1">
      <c r="B16" s="52" t="s">
        <v>68</v>
      </c>
      <c r="C16" s="53">
        <f>ROUNDUP(C12,2)</f>
        <v>767.86</v>
      </c>
    </row>
    <row r="17" spans="2:3" ht="15.75" thickBot="1">
      <c r="C17" s="54"/>
    </row>
    <row r="18" spans="2:3" ht="15.75" thickBot="1">
      <c r="B18" s="52" t="s">
        <v>69</v>
      </c>
      <c r="C18" s="53">
        <f>ROUNDDOWN(C12,2)</f>
        <v>767.85</v>
      </c>
    </row>
  </sheetData>
  <mergeCells count="2">
    <mergeCell ref="A1:C1"/>
    <mergeCell ref="A12:B12"/>
  </mergeCells>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0DD47-52CB-4C4C-A8C6-5D23878D8531}">
  <dimension ref="A1:C20"/>
  <sheetViews>
    <sheetView showGridLines="0" workbookViewId="0">
      <selection activeCell="B21" sqref="B21"/>
    </sheetView>
  </sheetViews>
  <sheetFormatPr defaultRowHeight="15"/>
  <cols>
    <col min="1" max="1" width="35.7109375" bestFit="1" customWidth="1"/>
    <col min="2" max="2" width="10" bestFit="1" customWidth="1"/>
    <col min="3" max="3" width="12.5703125" bestFit="1" customWidth="1"/>
  </cols>
  <sheetData>
    <row r="1" spans="1:3" ht="15.75" thickBot="1">
      <c r="A1" s="62" t="s">
        <v>79</v>
      </c>
      <c r="B1" s="63" t="s">
        <v>80</v>
      </c>
      <c r="C1" s="64" t="s">
        <v>81</v>
      </c>
    </row>
    <row r="2" spans="1:3">
      <c r="A2" s="65" t="s">
        <v>82</v>
      </c>
      <c r="B2" s="65" t="s">
        <v>83</v>
      </c>
      <c r="C2" s="66">
        <v>5600000</v>
      </c>
    </row>
    <row r="3" spans="1:3">
      <c r="A3" s="31" t="s">
        <v>84</v>
      </c>
      <c r="B3" s="31" t="s">
        <v>85</v>
      </c>
      <c r="C3" s="67">
        <v>196600000</v>
      </c>
    </row>
    <row r="4" spans="1:3">
      <c r="A4" s="31" t="s">
        <v>86</v>
      </c>
      <c r="B4" s="31" t="s">
        <v>83</v>
      </c>
      <c r="C4" s="67"/>
    </row>
    <row r="5" spans="1:3">
      <c r="A5" s="31" t="s">
        <v>87</v>
      </c>
      <c r="B5" s="31" t="s">
        <v>83</v>
      </c>
      <c r="C5" s="67">
        <v>100400000</v>
      </c>
    </row>
    <row r="6" spans="1:3">
      <c r="A6" s="31" t="s">
        <v>88</v>
      </c>
      <c r="B6" s="31" t="s">
        <v>83</v>
      </c>
      <c r="C6" s="67">
        <v>11200000</v>
      </c>
    </row>
    <row r="7" spans="1:3">
      <c r="A7" s="31" t="s">
        <v>89</v>
      </c>
      <c r="B7" s="31" t="s">
        <v>85</v>
      </c>
      <c r="C7" s="67">
        <v>10000000</v>
      </c>
    </row>
    <row r="8" spans="1:3">
      <c r="A8" s="31" t="s">
        <v>90</v>
      </c>
      <c r="B8" s="31" t="s">
        <v>83</v>
      </c>
      <c r="C8" s="67">
        <v>26100000</v>
      </c>
    </row>
    <row r="9" spans="1:3">
      <c r="A9" s="31" t="s">
        <v>91</v>
      </c>
      <c r="B9" s="31" t="s">
        <v>85</v>
      </c>
      <c r="C9" s="67">
        <v>18600000</v>
      </c>
    </row>
    <row r="10" spans="1:3">
      <c r="A10" s="31" t="s">
        <v>92</v>
      </c>
      <c r="B10" s="31" t="s">
        <v>85</v>
      </c>
      <c r="C10" s="67"/>
    </row>
    <row r="11" spans="1:3">
      <c r="A11" s="31" t="s">
        <v>93</v>
      </c>
      <c r="B11" s="31" t="s">
        <v>83</v>
      </c>
      <c r="C11" s="67"/>
    </row>
    <row r="12" spans="1:3">
      <c r="A12" s="31" t="s">
        <v>94</v>
      </c>
      <c r="B12" s="31" t="s">
        <v>83</v>
      </c>
      <c r="C12" s="67">
        <v>15400000</v>
      </c>
    </row>
    <row r="14" spans="1:3">
      <c r="B14" s="68" t="s">
        <v>95</v>
      </c>
    </row>
    <row r="15" spans="1:3">
      <c r="A15" s="69" t="s">
        <v>85</v>
      </c>
      <c r="B15" s="33">
        <f>COUNTIF($B$2:$B$12,A15)</f>
        <v>4</v>
      </c>
    </row>
    <row r="16" spans="1:3">
      <c r="A16" s="69" t="s">
        <v>83</v>
      </c>
      <c r="B16" s="33">
        <f>COUNTIF(B2:B12,A16)</f>
        <v>7</v>
      </c>
    </row>
    <row r="17" spans="1:2">
      <c r="A17" s="70"/>
    </row>
    <row r="18" spans="1:2">
      <c r="A18" s="69" t="s">
        <v>96</v>
      </c>
      <c r="B18" s="33">
        <f>COUNTBLANK(C2:C12)</f>
        <v>3</v>
      </c>
    </row>
    <row r="19" spans="1:2">
      <c r="A19" s="69" t="s">
        <v>97</v>
      </c>
      <c r="B19" s="33">
        <f>COUNT(C2:C12)</f>
        <v>8</v>
      </c>
    </row>
    <row r="20" spans="1:2">
      <c r="A20" s="69" t="s">
        <v>98</v>
      </c>
      <c r="B20" s="33">
        <f>COUNTA(A2:A12)</f>
        <v>11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E3F34-C596-4968-A8AD-CB3D275AB2FB}">
  <dimension ref="A2:F19"/>
  <sheetViews>
    <sheetView showGridLines="0" topLeftCell="A7" workbookViewId="0">
      <selection activeCell="J14" sqref="J14"/>
    </sheetView>
  </sheetViews>
  <sheetFormatPr defaultRowHeight="15"/>
  <cols>
    <col min="1" max="1" width="12.42578125" bestFit="1" customWidth="1"/>
    <col min="2" max="2" width="13.28515625" bestFit="1" customWidth="1"/>
    <col min="3" max="3" width="12.28515625" customWidth="1"/>
    <col min="4" max="5" width="10.5703125" bestFit="1" customWidth="1"/>
    <col min="6" max="6" width="9.140625" bestFit="1" customWidth="1"/>
    <col min="7" max="7" width="9.5703125" customWidth="1"/>
  </cols>
  <sheetData>
    <row r="2" spans="1:6" ht="30">
      <c r="A2" s="83" t="s">
        <v>32</v>
      </c>
      <c r="B2" s="83" t="s">
        <v>231</v>
      </c>
      <c r="C2" s="83" t="s">
        <v>230</v>
      </c>
      <c r="D2" s="84"/>
      <c r="E2" s="199" t="s">
        <v>229</v>
      </c>
      <c r="F2" s="199"/>
    </row>
    <row r="3" spans="1:6">
      <c r="A3" s="82" t="s">
        <v>228</v>
      </c>
      <c r="B3" s="79">
        <v>63.3</v>
      </c>
      <c r="C3" s="81">
        <f>VLOOKUP(B3,$E$3:$F$6,2,TRUE)</f>
        <v>0.04</v>
      </c>
      <c r="D3" s="80"/>
      <c r="E3" s="79">
        <v>0</v>
      </c>
      <c r="F3" s="78">
        <v>0.03</v>
      </c>
    </row>
    <row r="4" spans="1:6">
      <c r="A4" s="82" t="s">
        <v>227</v>
      </c>
      <c r="B4" s="79">
        <v>54.1</v>
      </c>
      <c r="C4" s="81">
        <f>VLOOKUP(B4,$E$3:$F$6,2,TRUE)</f>
        <v>0.03</v>
      </c>
      <c r="D4" s="80"/>
      <c r="E4" s="79">
        <v>60</v>
      </c>
      <c r="F4" s="78">
        <v>0.04</v>
      </c>
    </row>
    <row r="5" spans="1:6">
      <c r="A5" s="82" t="s">
        <v>226</v>
      </c>
      <c r="B5" s="79">
        <v>362.3</v>
      </c>
      <c r="C5" s="81">
        <f>VLOOKUP(B5,$E$3:$F$6,2,TRUE)</f>
        <v>0.06</v>
      </c>
      <c r="D5" s="80"/>
      <c r="E5" s="79">
        <v>300</v>
      </c>
      <c r="F5" s="78">
        <v>0.05</v>
      </c>
    </row>
    <row r="6" spans="1:6">
      <c r="A6" s="82" t="s">
        <v>225</v>
      </c>
      <c r="B6" s="79">
        <v>310</v>
      </c>
      <c r="C6" s="81">
        <f>VLOOKUP(B6,$E$3:$F$6,2,TRUE)</f>
        <v>0.05</v>
      </c>
      <c r="D6" s="80"/>
      <c r="E6" s="79">
        <v>350</v>
      </c>
      <c r="F6" s="78">
        <v>0.06</v>
      </c>
    </row>
    <row r="8" spans="1:6">
      <c r="A8" s="200" t="s">
        <v>243</v>
      </c>
      <c r="B8" s="200"/>
      <c r="C8" s="200"/>
    </row>
    <row r="9" spans="1:6" ht="24">
      <c r="A9" s="94" t="s">
        <v>32</v>
      </c>
      <c r="B9" s="94" t="s">
        <v>242</v>
      </c>
      <c r="C9" s="94" t="s">
        <v>241</v>
      </c>
      <c r="D9" s="94" t="s">
        <v>240</v>
      </c>
    </row>
    <row r="10" spans="1:6">
      <c r="A10" s="82" t="s">
        <v>228</v>
      </c>
      <c r="B10" s="91">
        <v>3.5</v>
      </c>
      <c r="C10" s="90">
        <f t="shared" ref="C10:C17" si="0">VLOOKUP(B10,$E$14:$F$17,2,1)</f>
        <v>0.25</v>
      </c>
      <c r="D10" s="85">
        <f t="shared" ref="D10:D17" si="1">B10*C10</f>
        <v>0.875</v>
      </c>
    </row>
    <row r="11" spans="1:6">
      <c r="A11" s="82" t="s">
        <v>227</v>
      </c>
      <c r="B11" s="91">
        <v>8</v>
      </c>
      <c r="C11" s="90">
        <f t="shared" si="0"/>
        <v>0.25</v>
      </c>
      <c r="D11" s="85">
        <f t="shared" si="1"/>
        <v>2</v>
      </c>
    </row>
    <row r="12" spans="1:6">
      <c r="A12" s="82" t="s">
        <v>239</v>
      </c>
      <c r="B12" s="91">
        <v>89</v>
      </c>
      <c r="C12" s="90">
        <f t="shared" si="0"/>
        <v>0.2</v>
      </c>
      <c r="D12" s="85">
        <f t="shared" si="1"/>
        <v>17.8</v>
      </c>
    </row>
    <row r="13" spans="1:6">
      <c r="A13" s="82" t="s">
        <v>238</v>
      </c>
      <c r="B13" s="91">
        <v>230</v>
      </c>
      <c r="C13" s="90">
        <f t="shared" si="0"/>
        <v>0.15</v>
      </c>
      <c r="D13" s="85">
        <f t="shared" si="1"/>
        <v>34.5</v>
      </c>
      <c r="E13" s="201" t="s">
        <v>237</v>
      </c>
      <c r="F13" s="200"/>
    </row>
    <row r="14" spans="1:6">
      <c r="A14" s="82" t="s">
        <v>236</v>
      </c>
      <c r="B14" s="91">
        <v>590</v>
      </c>
      <c r="C14" s="90">
        <f t="shared" si="0"/>
        <v>0.1</v>
      </c>
      <c r="D14" s="85">
        <f t="shared" si="1"/>
        <v>59</v>
      </c>
      <c r="E14" s="93">
        <v>0</v>
      </c>
      <c r="F14" s="92">
        <v>0.25</v>
      </c>
    </row>
    <row r="15" spans="1:6">
      <c r="A15" s="82" t="s">
        <v>235</v>
      </c>
      <c r="B15" s="91">
        <v>360</v>
      </c>
      <c r="C15" s="90">
        <f t="shared" si="0"/>
        <v>0.15</v>
      </c>
      <c r="D15" s="85">
        <f t="shared" si="1"/>
        <v>54</v>
      </c>
      <c r="E15" s="89">
        <v>46</v>
      </c>
      <c r="F15" s="88">
        <v>0.2</v>
      </c>
    </row>
    <row r="16" spans="1:6">
      <c r="A16" s="82" t="s">
        <v>234</v>
      </c>
      <c r="B16" s="91">
        <v>50</v>
      </c>
      <c r="C16" s="90">
        <f t="shared" si="0"/>
        <v>0.2</v>
      </c>
      <c r="D16" s="85">
        <f t="shared" si="1"/>
        <v>10</v>
      </c>
      <c r="E16" s="89">
        <v>201</v>
      </c>
      <c r="F16" s="88">
        <v>0.15</v>
      </c>
    </row>
    <row r="17" spans="1:6">
      <c r="A17" s="82" t="s">
        <v>233</v>
      </c>
      <c r="B17" s="91">
        <v>60</v>
      </c>
      <c r="C17" s="90">
        <f t="shared" si="0"/>
        <v>0.2</v>
      </c>
      <c r="D17" s="85">
        <f t="shared" si="1"/>
        <v>12</v>
      </c>
      <c r="E17" s="89">
        <v>401</v>
      </c>
      <c r="F17" s="88">
        <v>0.1</v>
      </c>
    </row>
    <row r="18" spans="1:6">
      <c r="D18" s="40"/>
    </row>
    <row r="19" spans="1:6">
      <c r="A19" s="82" t="s">
        <v>232</v>
      </c>
      <c r="B19" s="87">
        <v>1251.5</v>
      </c>
      <c r="C19" s="86">
        <f>D19/B19</f>
        <v>0.15195765081901719</v>
      </c>
      <c r="D19" s="85">
        <f>SUM(D10:D18)</f>
        <v>190.17500000000001</v>
      </c>
    </row>
  </sheetData>
  <mergeCells count="3">
    <mergeCell ref="E2:F2"/>
    <mergeCell ref="A8:C8"/>
    <mergeCell ref="E13:F13"/>
  </mergeCell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EBE83-2BBD-473D-93C0-EB28418EEB1E}">
  <dimension ref="A1:N39"/>
  <sheetViews>
    <sheetView showGridLines="0" topLeftCell="A2" workbookViewId="0">
      <selection activeCell="Q20" sqref="Q20"/>
    </sheetView>
  </sheetViews>
  <sheetFormatPr defaultRowHeight="15"/>
  <cols>
    <col min="2" max="2" width="9.85546875" bestFit="1" customWidth="1"/>
    <col min="3" max="3" width="23.7109375" customWidth="1"/>
    <col min="4" max="4" width="12.140625" bestFit="1" customWidth="1"/>
    <col min="5" max="5" width="19.28515625" bestFit="1" customWidth="1"/>
    <col min="6" max="6" width="11.140625" bestFit="1" customWidth="1"/>
    <col min="7" max="7" width="11" bestFit="1" customWidth="1"/>
    <col min="10" max="11" width="10.5703125" bestFit="1" customWidth="1"/>
    <col min="14" max="14" width="11.42578125" bestFit="1" customWidth="1"/>
  </cols>
  <sheetData>
    <row r="1" spans="1:7">
      <c r="A1" s="118"/>
      <c r="B1" s="202" t="s">
        <v>256</v>
      </c>
      <c r="C1" s="203"/>
      <c r="D1" s="203"/>
      <c r="E1" s="203"/>
      <c r="F1" s="204"/>
      <c r="G1" s="117"/>
    </row>
    <row r="2" spans="1:7" ht="16.5">
      <c r="A2" s="107"/>
      <c r="B2" s="116" t="s">
        <v>255</v>
      </c>
      <c r="C2" s="115" t="s">
        <v>254</v>
      </c>
      <c r="D2" s="115" t="s">
        <v>253</v>
      </c>
      <c r="E2" s="115" t="s">
        <v>252</v>
      </c>
      <c r="F2" s="114" t="s">
        <v>251</v>
      </c>
      <c r="G2" s="98"/>
    </row>
    <row r="3" spans="1:7" ht="16.5">
      <c r="A3" s="107"/>
      <c r="B3" s="113" t="s">
        <v>250</v>
      </c>
      <c r="C3" s="137">
        <v>4300</v>
      </c>
      <c r="D3" s="137">
        <v>5200</v>
      </c>
      <c r="E3" s="137">
        <v>4500</v>
      </c>
      <c r="F3" s="138">
        <v>2300</v>
      </c>
      <c r="G3" s="98"/>
    </row>
    <row r="4" spans="1:7" ht="16.5">
      <c r="A4" s="107"/>
      <c r="B4" s="112" t="s">
        <v>249</v>
      </c>
      <c r="C4" s="139">
        <v>3800</v>
      </c>
      <c r="D4" s="139">
        <v>4560</v>
      </c>
      <c r="E4" s="139">
        <v>4250</v>
      </c>
      <c r="F4" s="140">
        <v>4800</v>
      </c>
      <c r="G4" s="98"/>
    </row>
    <row r="5" spans="1:7" ht="16.5">
      <c r="A5" s="107"/>
      <c r="B5" s="112" t="s">
        <v>248</v>
      </c>
      <c r="C5" s="139">
        <v>4100</v>
      </c>
      <c r="D5" s="139">
        <v>3730</v>
      </c>
      <c r="E5" s="139">
        <v>3470</v>
      </c>
      <c r="F5" s="140">
        <v>4500</v>
      </c>
      <c r="G5" s="98"/>
    </row>
    <row r="6" spans="1:7" ht="16.5">
      <c r="A6" s="107"/>
      <c r="B6" s="112" t="s">
        <v>247</v>
      </c>
      <c r="C6" s="139">
        <v>4640</v>
      </c>
      <c r="D6" s="139">
        <v>4980</v>
      </c>
      <c r="E6" s="139">
        <v>5100</v>
      </c>
      <c r="F6" s="140">
        <v>4350</v>
      </c>
      <c r="G6" s="98"/>
    </row>
    <row r="7" spans="1:7" ht="16.5">
      <c r="A7" s="107"/>
      <c r="B7" s="112" t="s">
        <v>246</v>
      </c>
      <c r="C7" s="139">
        <v>5100</v>
      </c>
      <c r="D7" s="139">
        <v>4690</v>
      </c>
      <c r="E7" s="139">
        <v>3400</v>
      </c>
      <c r="F7" s="140">
        <v>4350</v>
      </c>
      <c r="G7" s="98"/>
    </row>
    <row r="8" spans="1:7" ht="16.5">
      <c r="A8" s="107"/>
      <c r="B8" s="112" t="s">
        <v>245</v>
      </c>
      <c r="C8" s="139">
        <v>5230</v>
      </c>
      <c r="D8" s="139">
        <v>4500</v>
      </c>
      <c r="E8" s="139">
        <v>4100</v>
      </c>
      <c r="F8" s="140">
        <v>5050</v>
      </c>
      <c r="G8" s="98"/>
    </row>
    <row r="9" spans="1:7" ht="18.75" thickBot="1">
      <c r="A9" s="107"/>
      <c r="B9" s="111" t="s">
        <v>232</v>
      </c>
      <c r="C9" s="141">
        <f>SUM(C3:C8)</f>
        <v>27170</v>
      </c>
      <c r="D9" s="141">
        <f>SUM(D3:D8)</f>
        <v>27660</v>
      </c>
      <c r="E9" s="141">
        <f>SUM(E3:E8)</f>
        <v>24820</v>
      </c>
      <c r="F9" s="142">
        <f>SUM(F3:F8)</f>
        <v>25350</v>
      </c>
      <c r="G9" s="98"/>
    </row>
    <row r="10" spans="1:7" ht="15.75" thickBot="1">
      <c r="A10" s="107"/>
      <c r="B10" s="109"/>
      <c r="C10" s="110"/>
      <c r="D10" s="109"/>
      <c r="E10" s="109"/>
      <c r="F10" s="108"/>
      <c r="G10" s="98"/>
    </row>
    <row r="11" spans="1:7" ht="15.75" thickBot="1">
      <c r="A11" s="107"/>
      <c r="B11" s="106"/>
      <c r="C11" s="105" t="s">
        <v>253</v>
      </c>
      <c r="D11" s="104"/>
      <c r="E11" s="99"/>
      <c r="F11" s="103"/>
      <c r="G11" s="98"/>
    </row>
    <row r="12" spans="1:7" ht="15.75" thickBot="1">
      <c r="A12" s="101">
        <v>2</v>
      </c>
      <c r="B12" s="100" t="s">
        <v>250</v>
      </c>
      <c r="C12" s="136">
        <f>HLOOKUP($C$11,$C$2:$F$9,A12,)</f>
        <v>5200</v>
      </c>
      <c r="D12" s="99"/>
      <c r="E12" s="99"/>
      <c r="F12" s="102"/>
      <c r="G12" s="98"/>
    </row>
    <row r="13" spans="1:7" ht="15.75" thickBot="1">
      <c r="A13" s="101">
        <v>3</v>
      </c>
      <c r="B13" s="100" t="s">
        <v>249</v>
      </c>
      <c r="C13" s="136">
        <f t="shared" ref="C13:C18" si="0">HLOOKUP($C$11,$C$2:$F$9,A13,)</f>
        <v>4560</v>
      </c>
      <c r="D13" s="99"/>
      <c r="E13" s="99"/>
      <c r="F13" s="99"/>
      <c r="G13" s="98"/>
    </row>
    <row r="14" spans="1:7" ht="15.75" thickBot="1">
      <c r="A14" s="101">
        <v>4</v>
      </c>
      <c r="B14" s="100" t="s">
        <v>248</v>
      </c>
      <c r="C14" s="136">
        <f t="shared" si="0"/>
        <v>3730</v>
      </c>
      <c r="D14" s="205"/>
      <c r="E14" s="206"/>
      <c r="F14" s="99"/>
      <c r="G14" s="98"/>
    </row>
    <row r="15" spans="1:7" ht="15.75" thickBot="1">
      <c r="A15" s="101">
        <v>5</v>
      </c>
      <c r="B15" s="100" t="s">
        <v>247</v>
      </c>
      <c r="C15" s="136">
        <f t="shared" si="0"/>
        <v>4980</v>
      </c>
      <c r="D15" s="99"/>
      <c r="E15" s="99"/>
      <c r="F15" s="99"/>
      <c r="G15" s="98"/>
    </row>
    <row r="16" spans="1:7" ht="15.75" thickBot="1">
      <c r="A16" s="101">
        <v>6</v>
      </c>
      <c r="B16" s="100" t="s">
        <v>246</v>
      </c>
      <c r="C16" s="136">
        <f t="shared" si="0"/>
        <v>4690</v>
      </c>
      <c r="D16" s="99"/>
      <c r="E16" s="99"/>
      <c r="F16" s="99"/>
      <c r="G16" s="98"/>
    </row>
    <row r="17" spans="1:14" ht="15.75" thickBot="1">
      <c r="A17" s="101">
        <v>7</v>
      </c>
      <c r="B17" s="100" t="s">
        <v>245</v>
      </c>
      <c r="C17" s="136">
        <f t="shared" si="0"/>
        <v>4500</v>
      </c>
      <c r="D17" s="99"/>
      <c r="E17" s="99"/>
      <c r="F17" s="99"/>
      <c r="G17" s="98"/>
    </row>
    <row r="18" spans="1:14" ht="15.75" thickBot="1">
      <c r="A18" s="101">
        <v>8</v>
      </c>
      <c r="B18" s="100" t="s">
        <v>244</v>
      </c>
      <c r="C18" s="136">
        <f t="shared" si="0"/>
        <v>27660</v>
      </c>
      <c r="D18" s="99"/>
      <c r="E18" s="99"/>
      <c r="F18" s="99"/>
      <c r="G18" s="98"/>
    </row>
    <row r="19" spans="1:14" ht="15.75" thickBot="1">
      <c r="A19" s="97"/>
      <c r="B19" s="96"/>
      <c r="C19" s="96"/>
      <c r="D19" s="96"/>
      <c r="E19" s="96"/>
      <c r="F19" s="96"/>
      <c r="G19" s="95"/>
    </row>
    <row r="21" spans="1:14">
      <c r="A21" s="207" t="s">
        <v>287</v>
      </c>
      <c r="B21" s="207"/>
      <c r="C21" s="207"/>
      <c r="D21" s="207"/>
      <c r="F21" s="207" t="s">
        <v>286</v>
      </c>
      <c r="G21" s="207"/>
      <c r="H21" s="207"/>
      <c r="I21" s="207"/>
      <c r="J21" s="207"/>
      <c r="K21" s="207"/>
      <c r="L21" s="207"/>
      <c r="M21" s="207"/>
      <c r="N21" s="207"/>
    </row>
    <row r="22" spans="1:14">
      <c r="A22" s="207"/>
      <c r="B22" s="207"/>
      <c r="C22" s="207"/>
      <c r="D22" s="207"/>
      <c r="F22" s="207"/>
      <c r="G22" s="207"/>
      <c r="H22" s="207"/>
      <c r="I22" s="207"/>
      <c r="J22" s="207"/>
      <c r="K22" s="207"/>
      <c r="L22" s="207"/>
      <c r="M22" s="207"/>
      <c r="N22" s="207"/>
    </row>
    <row r="23" spans="1:14">
      <c r="A23" s="33" t="s">
        <v>285</v>
      </c>
      <c r="B23" s="33" t="s">
        <v>284</v>
      </c>
      <c r="C23" s="33" t="s">
        <v>283</v>
      </c>
      <c r="D23" s="33" t="s">
        <v>281</v>
      </c>
      <c r="F23" s="35" t="s">
        <v>285</v>
      </c>
      <c r="G23" s="35" t="s">
        <v>284</v>
      </c>
      <c r="H23" s="35" t="s">
        <v>283</v>
      </c>
      <c r="I23" s="35" t="s">
        <v>282</v>
      </c>
      <c r="J23" s="35" t="s">
        <v>281</v>
      </c>
      <c r="K23" s="35" t="s">
        <v>244</v>
      </c>
      <c r="L23" s="35" t="s">
        <v>265</v>
      </c>
      <c r="M23" s="35" t="s">
        <v>264</v>
      </c>
      <c r="N23" s="35" t="s">
        <v>260</v>
      </c>
    </row>
    <row r="24" spans="1:14">
      <c r="A24" s="32">
        <v>152</v>
      </c>
      <c r="B24" s="32" t="s">
        <v>280</v>
      </c>
      <c r="C24" s="32" t="s">
        <v>267</v>
      </c>
      <c r="D24" s="128">
        <v>25</v>
      </c>
      <c r="F24" s="131">
        <v>152</v>
      </c>
      <c r="G24" s="124" t="str">
        <f>VLOOKUP(F24,Tabela13[#All],2,FALSE)</f>
        <v>Cimento</v>
      </c>
      <c r="H24" s="124" t="str">
        <f>VLOOKUP(F24,Tabela13[#All],3,)</f>
        <v>Loja 1</v>
      </c>
      <c r="I24" s="132">
        <v>5</v>
      </c>
      <c r="J24" s="126">
        <f>VLOOKUP(F24,Tabela13[#All],4,0)</f>
        <v>25</v>
      </c>
      <c r="K24" s="126">
        <f t="shared" ref="K24:K34" si="1">I24*J24</f>
        <v>125</v>
      </c>
      <c r="L24" s="131">
        <v>1</v>
      </c>
      <c r="M24" s="124" t="str">
        <f t="shared" ref="M24:M34" si="2">HLOOKUP(L24,$A$37:$D$39,2,0)</f>
        <v>Pedro</v>
      </c>
      <c r="N24" s="124" t="str">
        <f t="shared" ref="N24:N34" si="3">HLOOKUP(L24,$A$37:$D$39,3,0)</f>
        <v>Santos</v>
      </c>
    </row>
    <row r="25" spans="1:14">
      <c r="A25" s="32">
        <v>110</v>
      </c>
      <c r="B25" s="32" t="s">
        <v>279</v>
      </c>
      <c r="C25" s="32" t="s">
        <v>272</v>
      </c>
      <c r="D25" s="128">
        <v>18</v>
      </c>
      <c r="F25" s="125">
        <v>110</v>
      </c>
      <c r="G25" s="124" t="str">
        <f>VLOOKUP(F25,Tabela13[#All],2,FALSE)</f>
        <v>Alicate</v>
      </c>
      <c r="H25" s="124" t="str">
        <f>VLOOKUP(F25,Tabela13[#All],3,)</f>
        <v>Loja 2</v>
      </c>
      <c r="I25" s="127">
        <v>2</v>
      </c>
      <c r="J25" s="126">
        <f>VLOOKUP(F25,Tabela13[#All],4,0)</f>
        <v>18</v>
      </c>
      <c r="K25" s="126">
        <f t="shared" si="1"/>
        <v>36</v>
      </c>
      <c r="L25" s="125">
        <v>3</v>
      </c>
      <c r="M25" s="124" t="str">
        <f t="shared" si="2"/>
        <v>Fátima</v>
      </c>
      <c r="N25" s="124" t="str">
        <f t="shared" si="3"/>
        <v>Guarujá</v>
      </c>
    </row>
    <row r="26" spans="1:14">
      <c r="A26" s="32">
        <v>18</v>
      </c>
      <c r="B26" s="32" t="s">
        <v>278</v>
      </c>
      <c r="C26" s="32" t="s">
        <v>269</v>
      </c>
      <c r="D26" s="128">
        <v>15</v>
      </c>
      <c r="F26" s="125">
        <v>18</v>
      </c>
      <c r="G26" s="124" t="str">
        <f>VLOOKUP(F26,Tabela13[#All],2,FALSE)</f>
        <v>Ponteiro</v>
      </c>
      <c r="H26" s="124" t="str">
        <f>VLOOKUP(F26,Tabela13[#All],3,)</f>
        <v>Loja 3</v>
      </c>
      <c r="I26" s="127">
        <v>8</v>
      </c>
      <c r="J26" s="126">
        <f>VLOOKUP(F26,Tabela13[#All],4,0)</f>
        <v>15</v>
      </c>
      <c r="K26" s="126">
        <f t="shared" si="1"/>
        <v>120</v>
      </c>
      <c r="L26" s="125">
        <v>2</v>
      </c>
      <c r="M26" s="124" t="str">
        <f>HLOOKUP(L26,$A$37:$D$39,2,0)</f>
        <v>Vinicius</v>
      </c>
      <c r="N26" s="124" t="str">
        <f t="shared" si="3"/>
        <v>São Vicente</v>
      </c>
    </row>
    <row r="27" spans="1:14">
      <c r="A27" s="32">
        <v>29</v>
      </c>
      <c r="B27" s="32" t="s">
        <v>277</v>
      </c>
      <c r="C27" s="32" t="s">
        <v>272</v>
      </c>
      <c r="D27" s="128">
        <v>4</v>
      </c>
      <c r="F27" s="125">
        <v>29</v>
      </c>
      <c r="G27" s="124" t="str">
        <f>VLOOKUP(F27,Tabela13[#All],2,FALSE)</f>
        <v>Areia</v>
      </c>
      <c r="H27" s="124" t="str">
        <f>VLOOKUP(F27,Tabela13[#All],3,)</f>
        <v>Loja 2</v>
      </c>
      <c r="I27" s="127">
        <v>4</v>
      </c>
      <c r="J27" s="126">
        <f>VLOOKUP(F27,Tabela13[#All],4,0)</f>
        <v>4</v>
      </c>
      <c r="K27" s="126">
        <f t="shared" si="1"/>
        <v>16</v>
      </c>
      <c r="L27" s="125">
        <v>2</v>
      </c>
      <c r="M27" s="124" t="str">
        <f t="shared" si="2"/>
        <v>Vinicius</v>
      </c>
      <c r="N27" s="124" t="str">
        <f t="shared" si="3"/>
        <v>São Vicente</v>
      </c>
    </row>
    <row r="28" spans="1:14">
      <c r="A28" s="32">
        <v>258</v>
      </c>
      <c r="B28" s="32" t="s">
        <v>276</v>
      </c>
      <c r="C28" s="32" t="s">
        <v>267</v>
      </c>
      <c r="D28" s="128">
        <v>32</v>
      </c>
      <c r="F28" s="125">
        <v>258</v>
      </c>
      <c r="G28" s="124" t="str">
        <f>VLOOKUP(F28,Tabela13[#All],2,FALSE)</f>
        <v>Ferro</v>
      </c>
      <c r="H28" s="124" t="str">
        <f>VLOOKUP(F28,Tabela13[#All],3,)</f>
        <v>Loja 1</v>
      </c>
      <c r="I28" s="127">
        <v>10</v>
      </c>
      <c r="J28" s="126">
        <f>VLOOKUP(F28,Tabela13[#All],4,0)</f>
        <v>32</v>
      </c>
      <c r="K28" s="126">
        <f t="shared" si="1"/>
        <v>320</v>
      </c>
      <c r="L28" s="125">
        <v>3</v>
      </c>
      <c r="M28" s="124" t="str">
        <f t="shared" si="2"/>
        <v>Fátima</v>
      </c>
      <c r="N28" s="124" t="str">
        <f t="shared" si="3"/>
        <v>Guarujá</v>
      </c>
    </row>
    <row r="29" spans="1:14">
      <c r="A29" s="32">
        <v>99</v>
      </c>
      <c r="B29" s="32" t="s">
        <v>275</v>
      </c>
      <c r="C29" s="32" t="s">
        <v>269</v>
      </c>
      <c r="D29" s="128">
        <v>0.5</v>
      </c>
      <c r="F29" s="125">
        <v>99</v>
      </c>
      <c r="G29" s="124" t="str">
        <f>VLOOKUP(F29,Tabela13[#All],2,FALSE)</f>
        <v>Parafuso</v>
      </c>
      <c r="H29" s="124" t="str">
        <f>VLOOKUP(F29,Tabela13[#All],3,)</f>
        <v>Loja 3</v>
      </c>
      <c r="I29" s="127">
        <v>6</v>
      </c>
      <c r="J29" s="126">
        <f>VLOOKUP(F29,Tabela13[#All],4,0)</f>
        <v>0.5</v>
      </c>
      <c r="K29" s="126">
        <f t="shared" si="1"/>
        <v>3</v>
      </c>
      <c r="L29" s="125">
        <v>3</v>
      </c>
      <c r="M29" s="124" t="str">
        <f t="shared" si="2"/>
        <v>Fátima</v>
      </c>
      <c r="N29" s="124" t="str">
        <f t="shared" si="3"/>
        <v>Guarujá</v>
      </c>
    </row>
    <row r="30" spans="1:14">
      <c r="A30" s="32">
        <v>198</v>
      </c>
      <c r="B30" s="32" t="s">
        <v>274</v>
      </c>
      <c r="C30" s="32" t="s">
        <v>267</v>
      </c>
      <c r="D30" s="128">
        <v>120</v>
      </c>
      <c r="F30" s="125">
        <v>198</v>
      </c>
      <c r="G30" s="124" t="str">
        <f>VLOOKUP(F30,Tabela13[#All],2,FALSE)</f>
        <v>Carrinho</v>
      </c>
      <c r="H30" s="124" t="str">
        <f>VLOOKUP(F30,Tabela13[#All],3,)</f>
        <v>Loja 1</v>
      </c>
      <c r="I30" s="127">
        <v>2</v>
      </c>
      <c r="J30" s="126">
        <f>VLOOKUP(F30,Tabela13[#All],4,0)</f>
        <v>120</v>
      </c>
      <c r="K30" s="126">
        <f t="shared" si="1"/>
        <v>240</v>
      </c>
      <c r="L30" s="125">
        <v>1</v>
      </c>
      <c r="M30" s="124" t="str">
        <f t="shared" si="2"/>
        <v>Pedro</v>
      </c>
      <c r="N30" s="124" t="str">
        <f t="shared" si="3"/>
        <v>Santos</v>
      </c>
    </row>
    <row r="31" spans="1:14">
      <c r="A31" s="32">
        <v>5</v>
      </c>
      <c r="B31" s="32" t="s">
        <v>273</v>
      </c>
      <c r="C31" s="32" t="s">
        <v>272</v>
      </c>
      <c r="D31" s="128">
        <v>28</v>
      </c>
      <c r="F31" s="125">
        <v>5</v>
      </c>
      <c r="G31" s="124" t="str">
        <f>VLOOKUP(F31,Tabela13[#All],2,FALSE)</f>
        <v>Torneira</v>
      </c>
      <c r="H31" s="124" t="str">
        <f>VLOOKUP(F31,Tabela13[#All],3,)</f>
        <v>Loja 2</v>
      </c>
      <c r="I31" s="127">
        <v>3</v>
      </c>
      <c r="J31" s="126">
        <f>VLOOKUP(F31,Tabela13[#All],4,0)</f>
        <v>28</v>
      </c>
      <c r="K31" s="126">
        <f t="shared" si="1"/>
        <v>84</v>
      </c>
      <c r="L31" s="125">
        <v>2</v>
      </c>
      <c r="M31" s="124" t="str">
        <f t="shared" si="2"/>
        <v>Vinicius</v>
      </c>
      <c r="N31" s="124" t="str">
        <f t="shared" si="3"/>
        <v>São Vicente</v>
      </c>
    </row>
    <row r="32" spans="1:14">
      <c r="A32" s="32">
        <v>230</v>
      </c>
      <c r="B32" s="32" t="s">
        <v>271</v>
      </c>
      <c r="C32" s="32" t="s">
        <v>269</v>
      </c>
      <c r="D32" s="128">
        <v>60</v>
      </c>
      <c r="F32" s="125">
        <v>230</v>
      </c>
      <c r="G32" s="124" t="str">
        <f>VLOOKUP(F32,Tabela13[#All],2,FALSE)</f>
        <v>Chuveiro</v>
      </c>
      <c r="H32" s="124" t="str">
        <f>VLOOKUP(F32,Tabela13[#All],3,)</f>
        <v>Loja 3</v>
      </c>
      <c r="I32" s="127">
        <v>1</v>
      </c>
      <c r="J32" s="126">
        <f>VLOOKUP(F32,Tabela13[#All],4,0)</f>
        <v>60</v>
      </c>
      <c r="K32" s="126">
        <f t="shared" si="1"/>
        <v>60</v>
      </c>
      <c r="L32" s="125">
        <v>3</v>
      </c>
      <c r="M32" s="124" t="str">
        <f t="shared" si="2"/>
        <v>Fátima</v>
      </c>
      <c r="N32" s="124" t="str">
        <f t="shared" si="3"/>
        <v>Guarujá</v>
      </c>
    </row>
    <row r="33" spans="1:14">
      <c r="A33" s="32">
        <v>111</v>
      </c>
      <c r="B33" s="32" t="s">
        <v>270</v>
      </c>
      <c r="C33" s="32" t="s">
        <v>269</v>
      </c>
      <c r="D33" s="128">
        <v>10</v>
      </c>
      <c r="F33" s="129">
        <v>111</v>
      </c>
      <c r="G33" s="124" t="str">
        <f>VLOOKUP(F33,Tabela13[#All],2,FALSE)</f>
        <v>Cola</v>
      </c>
      <c r="H33" s="124" t="str">
        <f>VLOOKUP(F33,Tabela13[#All],3,)</f>
        <v>Loja 3</v>
      </c>
      <c r="I33" s="130">
        <v>5</v>
      </c>
      <c r="J33" s="126">
        <f>VLOOKUP(F33,Tabela13[#All],4,0)</f>
        <v>10</v>
      </c>
      <c r="K33" s="126">
        <f t="shared" si="1"/>
        <v>50</v>
      </c>
      <c r="L33" s="129">
        <v>2</v>
      </c>
      <c r="M33" s="124" t="str">
        <f t="shared" si="2"/>
        <v>Vinicius</v>
      </c>
      <c r="N33" s="124" t="str">
        <f t="shared" si="3"/>
        <v>São Vicente</v>
      </c>
    </row>
    <row r="34" spans="1:14">
      <c r="A34" s="32">
        <v>82</v>
      </c>
      <c r="B34" s="32" t="s">
        <v>268</v>
      </c>
      <c r="C34" s="32" t="s">
        <v>267</v>
      </c>
      <c r="D34" s="128">
        <v>120</v>
      </c>
      <c r="F34" s="125">
        <v>82</v>
      </c>
      <c r="G34" s="124" t="str">
        <f>VLOOKUP(F34,Tabela13[#All],2,FALSE)</f>
        <v>Tinta</v>
      </c>
      <c r="H34" s="124" t="str">
        <f>VLOOKUP(F34,Tabela13[#All],3,)</f>
        <v>Loja 1</v>
      </c>
      <c r="I34" s="127">
        <v>2</v>
      </c>
      <c r="J34" s="126">
        <f>VLOOKUP(F34,Tabela13[#All],4,0)</f>
        <v>120</v>
      </c>
      <c r="K34" s="126">
        <f t="shared" si="1"/>
        <v>240</v>
      </c>
      <c r="L34" s="125">
        <v>1</v>
      </c>
      <c r="M34" s="124" t="str">
        <f t="shared" si="2"/>
        <v>Pedro</v>
      </c>
      <c r="N34" s="124" t="str">
        <f t="shared" si="3"/>
        <v>Santos</v>
      </c>
    </row>
    <row r="36" spans="1:14">
      <c r="A36" s="208" t="s">
        <v>266</v>
      </c>
      <c r="B36" s="208"/>
      <c r="C36" s="208"/>
      <c r="D36" s="208"/>
    </row>
    <row r="37" spans="1:14">
      <c r="A37" s="35" t="s">
        <v>265</v>
      </c>
      <c r="B37" s="122">
        <v>1</v>
      </c>
      <c r="C37" s="123">
        <v>2</v>
      </c>
      <c r="D37" s="123">
        <v>3</v>
      </c>
    </row>
    <row r="38" spans="1:14">
      <c r="A38" s="35" t="s">
        <v>264</v>
      </c>
      <c r="B38" s="122" t="s">
        <v>263</v>
      </c>
      <c r="C38" s="121" t="s">
        <v>262</v>
      </c>
      <c r="D38" s="119" t="s">
        <v>261</v>
      </c>
    </row>
    <row r="39" spans="1:14">
      <c r="A39" s="35" t="s">
        <v>260</v>
      </c>
      <c r="B39" s="120" t="s">
        <v>259</v>
      </c>
      <c r="C39" s="119" t="s">
        <v>258</v>
      </c>
      <c r="D39" s="119" t="s">
        <v>257</v>
      </c>
    </row>
  </sheetData>
  <mergeCells count="5">
    <mergeCell ref="B1:F1"/>
    <mergeCell ref="D14:E14"/>
    <mergeCell ref="A21:D22"/>
    <mergeCell ref="A36:D36"/>
    <mergeCell ref="F21:N22"/>
  </mergeCells>
  <conditionalFormatting sqref="B12:B18">
    <cfRule type="expression" dxfId="4" priority="1" stopIfTrue="1">
      <formula>ISNUMBER(MATCH($B$12,$F$3:$F$9,0))</formula>
    </cfRule>
  </conditionalFormatting>
  <conditionalFormatting sqref="B3:F8">
    <cfRule type="expression" dxfId="3" priority="2" stopIfTrue="1">
      <formula>IF($F3 = $B$12, TRUE, FALSE)</formula>
    </cfRule>
  </conditionalFormatting>
  <conditionalFormatting sqref="C2:F2">
    <cfRule type="expression" dxfId="2" priority="5" stopIfTrue="1">
      <formula>IF(C9 = $B$12, TRUE, FALSE)</formula>
    </cfRule>
  </conditionalFormatting>
  <conditionalFormatting sqref="C9:F9">
    <cfRule type="expression" dxfId="1" priority="4" stopIfTrue="1">
      <formula>IF(C9 = $B$12, TRUE, FALSE)</formula>
    </cfRule>
  </conditionalFormatting>
  <conditionalFormatting sqref="E18">
    <cfRule type="expression" dxfId="0" priority="3" stopIfTrue="1">
      <formula>NOT(é.erro(MATCH($B$12,$F$3:$F$9,0)))</formula>
    </cfRule>
  </conditionalFormatting>
  <dataValidations count="3">
    <dataValidation allowBlank="1" showErrorMessage="1" errorTitle="Inválido" error="Este nome não está na lista acima" promptTitle="Clientes" prompt="Escolha o cliente que deseje saber o valor!" sqref="B11" xr:uid="{C76651C7-B2BA-430B-A37E-B51801485396}"/>
    <dataValidation allowBlank="1" showInputMessage="1" sqref="B12:B18" xr:uid="{25539F69-F6EC-4A6D-B52E-BB4A881AA065}"/>
    <dataValidation type="list" allowBlank="1" showInputMessage="1" showErrorMessage="1" sqref="C11" xr:uid="{A3746357-C3B7-4F10-8C2F-78A13874D8CF}">
      <formula1>$C$2:$F$2</formula1>
    </dataValidation>
  </dataValidations>
  <pageMargins left="0.511811024" right="0.511811024" top="0.78740157499999996" bottom="0.78740157499999996" header="0.31496062000000002" footer="0.31496062000000002"/>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F3147-A544-4A00-9606-6F18BEA47E72}">
  <dimension ref="A1:H229"/>
  <sheetViews>
    <sheetView showGridLines="0" topLeftCell="A75" workbookViewId="0">
      <selection activeCell="C22" sqref="C22"/>
    </sheetView>
  </sheetViews>
  <sheetFormatPr defaultRowHeight="15"/>
  <cols>
    <col min="1" max="1" width="23.140625" customWidth="1"/>
    <col min="2" max="2" width="39.42578125" customWidth="1"/>
    <col min="3" max="3" width="129.140625" customWidth="1"/>
    <col min="5" max="5" width="10.7109375" customWidth="1"/>
    <col min="6" max="6" width="26.28515625" customWidth="1"/>
    <col min="7" max="7" width="113.85546875" customWidth="1"/>
    <col min="8" max="8" width="96.85546875" customWidth="1"/>
  </cols>
  <sheetData>
    <row r="1" spans="1:8" ht="33" customHeight="1" thickBot="1">
      <c r="A1" s="209" t="s">
        <v>304</v>
      </c>
      <c r="B1" s="210"/>
      <c r="C1" s="211"/>
      <c r="E1" s="143" t="s">
        <v>948</v>
      </c>
      <c r="F1" s="143" t="s">
        <v>222</v>
      </c>
      <c r="G1" s="143" t="s">
        <v>949</v>
      </c>
      <c r="H1" s="143" t="s">
        <v>950</v>
      </c>
    </row>
    <row r="2" spans="1:8" ht="15.75" thickBot="1">
      <c r="A2" s="143" t="s">
        <v>305</v>
      </c>
      <c r="B2" s="143" t="s">
        <v>306</v>
      </c>
      <c r="C2" s="143" t="s">
        <v>307</v>
      </c>
      <c r="E2" s="212" t="s">
        <v>951</v>
      </c>
      <c r="F2" s="212" t="s">
        <v>952</v>
      </c>
      <c r="G2" s="154" t="s">
        <v>953</v>
      </c>
      <c r="H2" s="154" t="s">
        <v>1037</v>
      </c>
    </row>
    <row r="3" spans="1:8" ht="21">
      <c r="A3" s="164" t="s">
        <v>308</v>
      </c>
      <c r="B3" s="163" t="s">
        <v>308</v>
      </c>
      <c r="C3" s="165" t="s">
        <v>309</v>
      </c>
      <c r="E3" s="212"/>
      <c r="F3" s="212"/>
      <c r="G3" s="154" t="s">
        <v>954</v>
      </c>
      <c r="H3" s="154" t="s">
        <v>954</v>
      </c>
    </row>
    <row r="4" spans="1:8" ht="21.75" thickBot="1">
      <c r="A4" s="148" t="s">
        <v>310</v>
      </c>
      <c r="B4" s="145" t="s">
        <v>310</v>
      </c>
      <c r="C4" s="149" t="s">
        <v>311</v>
      </c>
      <c r="E4" s="213"/>
      <c r="F4" s="213"/>
      <c r="G4" s="155" t="s">
        <v>955</v>
      </c>
      <c r="H4" s="155" t="str">
        <f>A1</f>
        <v>Lista de fórmulas Excel traduzidas de Inglês para Português – Ordem Inglês</v>
      </c>
    </row>
    <row r="5" spans="1:8" ht="21.75" thickBot="1">
      <c r="A5" s="146" t="s">
        <v>312</v>
      </c>
      <c r="B5" s="144" t="s">
        <v>312</v>
      </c>
      <c r="C5" s="147" t="s">
        <v>313</v>
      </c>
      <c r="E5" s="156" t="s">
        <v>956</v>
      </c>
      <c r="F5" s="156" t="s">
        <v>957</v>
      </c>
      <c r="G5" s="156" t="s">
        <v>958</v>
      </c>
      <c r="H5" s="156" t="s">
        <v>1032</v>
      </c>
    </row>
    <row r="6" spans="1:8" ht="21.75" thickBot="1">
      <c r="A6" s="148" t="s">
        <v>314</v>
      </c>
      <c r="B6" s="145" t="s">
        <v>315</v>
      </c>
      <c r="C6" s="149" t="s">
        <v>316</v>
      </c>
      <c r="E6" s="157" t="s">
        <v>959</v>
      </c>
      <c r="F6" s="157" t="s">
        <v>960</v>
      </c>
      <c r="G6" s="157" t="s">
        <v>961</v>
      </c>
      <c r="H6" s="162">
        <v>45298</v>
      </c>
    </row>
    <row r="7" spans="1:8" ht="21">
      <c r="A7" s="146" t="s">
        <v>317</v>
      </c>
      <c r="B7" s="144" t="s">
        <v>318</v>
      </c>
      <c r="C7" s="147" t="s">
        <v>319</v>
      </c>
      <c r="E7" s="214" t="s">
        <v>962</v>
      </c>
      <c r="F7" s="214" t="s">
        <v>963</v>
      </c>
      <c r="G7" s="32" t="s">
        <v>964</v>
      </c>
      <c r="H7" s="158">
        <f>3*8</f>
        <v>24</v>
      </c>
    </row>
    <row r="8" spans="1:8" ht="21">
      <c r="A8" s="148" t="s">
        <v>320</v>
      </c>
      <c r="B8" s="145" t="s">
        <v>321</v>
      </c>
      <c r="C8" s="149" t="s">
        <v>322</v>
      </c>
      <c r="E8" s="215"/>
      <c r="F8" s="215"/>
      <c r="G8" s="159" t="s">
        <v>954</v>
      </c>
      <c r="H8" s="159" t="s">
        <v>966</v>
      </c>
    </row>
    <row r="9" spans="1:8" ht="21.75" thickBot="1">
      <c r="A9" s="146" t="s">
        <v>323</v>
      </c>
      <c r="B9" s="144" t="s">
        <v>323</v>
      </c>
      <c r="C9" s="147" t="s">
        <v>324</v>
      </c>
      <c r="E9" s="216"/>
      <c r="F9" s="216"/>
      <c r="G9" s="160" t="s">
        <v>965</v>
      </c>
      <c r="H9" s="160" t="s">
        <v>1033</v>
      </c>
    </row>
    <row r="10" spans="1:8" ht="21.75" thickBot="1">
      <c r="A10" s="148" t="s">
        <v>325</v>
      </c>
      <c r="B10" s="145" t="s">
        <v>325</v>
      </c>
      <c r="C10" s="149" t="s">
        <v>326</v>
      </c>
      <c r="E10" s="157" t="s">
        <v>967</v>
      </c>
      <c r="F10" s="157" t="s">
        <v>968</v>
      </c>
      <c r="G10" s="157" t="s">
        <v>969</v>
      </c>
      <c r="H10" s="157" t="s">
        <v>1034</v>
      </c>
    </row>
    <row r="11" spans="1:8" ht="21.75" thickBot="1">
      <c r="A11" s="146" t="s">
        <v>327</v>
      </c>
      <c r="B11" s="144" t="s">
        <v>327</v>
      </c>
      <c r="C11" s="147" t="s">
        <v>328</v>
      </c>
      <c r="E11" s="156" t="s">
        <v>970</v>
      </c>
      <c r="F11" s="156" t="s">
        <v>971</v>
      </c>
      <c r="G11" s="156" t="s">
        <v>972</v>
      </c>
      <c r="H11" s="156" t="s">
        <v>1035</v>
      </c>
    </row>
    <row r="12" spans="1:8" ht="21.75" thickBot="1">
      <c r="A12" s="148" t="s">
        <v>329</v>
      </c>
      <c r="B12" s="145" t="s">
        <v>330</v>
      </c>
      <c r="C12" s="149" t="s">
        <v>331</v>
      </c>
      <c r="E12" s="157" t="s">
        <v>973</v>
      </c>
      <c r="F12" s="157" t="s">
        <v>974</v>
      </c>
      <c r="G12" s="32" t="s">
        <v>975</v>
      </c>
      <c r="H12" s="157" t="s">
        <v>1036</v>
      </c>
    </row>
    <row r="13" spans="1:8" ht="21.75" thickBot="1">
      <c r="A13" s="146" t="s">
        <v>332</v>
      </c>
      <c r="B13" s="144" t="s">
        <v>18</v>
      </c>
      <c r="C13" s="147" t="s">
        <v>333</v>
      </c>
      <c r="E13" s="156" t="s">
        <v>976</v>
      </c>
      <c r="F13" s="156" t="s">
        <v>977</v>
      </c>
      <c r="G13" s="156" t="s">
        <v>978</v>
      </c>
      <c r="H13" s="156" t="s">
        <v>979</v>
      </c>
    </row>
    <row r="14" spans="1:8" ht="21.75" thickBot="1">
      <c r="A14" s="148" t="s">
        <v>334</v>
      </c>
      <c r="B14" s="145" t="s">
        <v>335</v>
      </c>
      <c r="C14" s="149" t="s">
        <v>336</v>
      </c>
      <c r="E14" s="157" t="s">
        <v>980</v>
      </c>
      <c r="F14" s="157" t="s">
        <v>981</v>
      </c>
      <c r="G14" s="157" t="s">
        <v>982</v>
      </c>
      <c r="H14" s="157" t="s">
        <v>983</v>
      </c>
    </row>
    <row r="15" spans="1:8" ht="29.25" thickBot="1">
      <c r="A15" s="146" t="s">
        <v>337</v>
      </c>
      <c r="B15" s="144" t="s">
        <v>338</v>
      </c>
      <c r="C15" s="147" t="s">
        <v>339</v>
      </c>
      <c r="E15" s="156" t="s">
        <v>984</v>
      </c>
      <c r="F15" s="156" t="s">
        <v>985</v>
      </c>
      <c r="G15" s="156" t="s">
        <v>986</v>
      </c>
      <c r="H15" s="156" t="s">
        <v>1031</v>
      </c>
    </row>
    <row r="16" spans="1:8" ht="21.75" thickBot="1">
      <c r="A16" s="148" t="s">
        <v>340</v>
      </c>
      <c r="B16" s="145" t="s">
        <v>341</v>
      </c>
      <c r="C16" s="149" t="s">
        <v>342</v>
      </c>
      <c r="E16" s="157" t="s">
        <v>987</v>
      </c>
      <c r="F16" s="157" t="s">
        <v>988</v>
      </c>
      <c r="G16" s="32" t="s">
        <v>989</v>
      </c>
      <c r="H16" s="157" t="str">
        <f>A2&amp;B2&amp;C2</f>
        <v>InglêsPortuguêsDescrição</v>
      </c>
    </row>
    <row r="17" spans="1:8" ht="21.75" thickBot="1">
      <c r="A17" s="146" t="s">
        <v>343</v>
      </c>
      <c r="B17" s="144" t="s">
        <v>344</v>
      </c>
      <c r="C17" s="147" t="s">
        <v>345</v>
      </c>
      <c r="E17" s="156" t="s">
        <v>990</v>
      </c>
      <c r="F17" s="156" t="s">
        <v>991</v>
      </c>
      <c r="G17" s="156" t="s">
        <v>992</v>
      </c>
      <c r="H17" s="156" t="s">
        <v>993</v>
      </c>
    </row>
    <row r="18" spans="1:8" ht="21.75" thickBot="1">
      <c r="A18" s="148" t="s">
        <v>346</v>
      </c>
      <c r="B18" s="145" t="s">
        <v>347</v>
      </c>
      <c r="C18" s="149" t="s">
        <v>348</v>
      </c>
      <c r="E18" s="157" t="s">
        <v>994</v>
      </c>
      <c r="F18" s="157" t="s">
        <v>995</v>
      </c>
      <c r="G18" s="157" t="s">
        <v>996</v>
      </c>
      <c r="H18" s="157" t="s">
        <v>997</v>
      </c>
    </row>
    <row r="19" spans="1:8" ht="29.25" thickBot="1">
      <c r="A19" s="146" t="s">
        <v>349</v>
      </c>
      <c r="B19" s="144" t="s">
        <v>350</v>
      </c>
      <c r="C19" s="147" t="s">
        <v>351</v>
      </c>
      <c r="E19" s="156" t="s">
        <v>998</v>
      </c>
      <c r="F19" s="156" t="s">
        <v>999</v>
      </c>
      <c r="G19" s="156" t="s">
        <v>1000</v>
      </c>
      <c r="H19" s="156" t="s">
        <v>1025</v>
      </c>
    </row>
    <row r="20" spans="1:8" ht="21.75" thickBot="1">
      <c r="A20" s="148" t="s">
        <v>352</v>
      </c>
      <c r="B20" s="145" t="s">
        <v>353</v>
      </c>
      <c r="C20" s="149" t="s">
        <v>354</v>
      </c>
      <c r="E20" s="157" t="s">
        <v>1001</v>
      </c>
      <c r="F20" s="157" t="s">
        <v>1002</v>
      </c>
      <c r="G20" s="32" t="s">
        <v>1003</v>
      </c>
      <c r="H20" s="157" t="s">
        <v>1026</v>
      </c>
    </row>
    <row r="21" spans="1:8" ht="21.75" thickBot="1">
      <c r="A21" s="146" t="s">
        <v>355</v>
      </c>
      <c r="B21" s="144" t="s">
        <v>356</v>
      </c>
      <c r="C21" s="147" t="s">
        <v>357</v>
      </c>
      <c r="E21" s="156" t="s">
        <v>1004</v>
      </c>
      <c r="F21" s="156" t="s">
        <v>1005</v>
      </c>
      <c r="G21" s="156" t="s">
        <v>1006</v>
      </c>
      <c r="H21" s="156" t="s">
        <v>1027</v>
      </c>
    </row>
    <row r="22" spans="1:8" ht="21.75" thickBot="1">
      <c r="A22" s="148" t="s">
        <v>358</v>
      </c>
      <c r="B22" s="145" t="s">
        <v>359</v>
      </c>
      <c r="C22" s="149" t="s">
        <v>360</v>
      </c>
      <c r="E22" s="157" t="s">
        <v>1007</v>
      </c>
      <c r="F22" s="157" t="s">
        <v>1008</v>
      </c>
      <c r="G22" s="157" t="s">
        <v>1009</v>
      </c>
      <c r="H22" s="157" t="s">
        <v>1029</v>
      </c>
    </row>
    <row r="23" spans="1:8" ht="21.75" thickBot="1">
      <c r="A23" s="146" t="s">
        <v>361</v>
      </c>
      <c r="B23" s="144" t="s">
        <v>362</v>
      </c>
      <c r="C23" s="147" t="s">
        <v>363</v>
      </c>
      <c r="E23" s="156" t="s">
        <v>1010</v>
      </c>
      <c r="F23" s="156" t="s">
        <v>1011</v>
      </c>
      <c r="G23" s="32" t="s">
        <v>1012</v>
      </c>
      <c r="H23" s="156" t="s">
        <v>1028</v>
      </c>
    </row>
    <row r="24" spans="1:8" ht="21">
      <c r="A24" s="148" t="s">
        <v>364</v>
      </c>
      <c r="B24" s="145" t="s">
        <v>365</v>
      </c>
      <c r="C24" s="149" t="s">
        <v>366</v>
      </c>
      <c r="E24" s="217" t="s">
        <v>1013</v>
      </c>
      <c r="F24" s="217" t="s">
        <v>1014</v>
      </c>
      <c r="G24" s="153" t="s">
        <v>1015</v>
      </c>
      <c r="H24" s="153" t="s">
        <v>1024</v>
      </c>
    </row>
    <row r="25" spans="1:8" ht="21">
      <c r="A25" s="146" t="s">
        <v>367</v>
      </c>
      <c r="B25" s="144" t="s">
        <v>265</v>
      </c>
      <c r="C25" s="147" t="s">
        <v>368</v>
      </c>
      <c r="E25" s="212"/>
      <c r="F25" s="212"/>
      <c r="G25" s="154" t="s">
        <v>954</v>
      </c>
      <c r="H25" s="161"/>
    </row>
    <row r="26" spans="1:8" ht="21">
      <c r="A26" s="148" t="s">
        <v>369</v>
      </c>
      <c r="B26" s="145" t="s">
        <v>370</v>
      </c>
      <c r="C26" s="149" t="s">
        <v>371</v>
      </c>
      <c r="E26" s="212"/>
      <c r="F26" s="212"/>
      <c r="G26" s="154" t="s">
        <v>1016</v>
      </c>
      <c r="H26" s="154" t="s">
        <v>954</v>
      </c>
    </row>
    <row r="27" spans="1:8" ht="21.75" thickBot="1">
      <c r="A27" s="146" t="s">
        <v>372</v>
      </c>
      <c r="B27" s="144" t="s">
        <v>373</v>
      </c>
      <c r="C27" s="147" t="s">
        <v>374</v>
      </c>
      <c r="E27" s="213"/>
      <c r="F27" s="213"/>
      <c r="G27" s="155"/>
      <c r="H27" s="155">
        <f>2*(5+3)</f>
        <v>16</v>
      </c>
    </row>
    <row r="28" spans="1:8" ht="21.75" thickBot="1">
      <c r="A28" s="148" t="s">
        <v>375</v>
      </c>
      <c r="B28" s="145" t="s">
        <v>375</v>
      </c>
      <c r="C28" s="149" t="s">
        <v>376</v>
      </c>
      <c r="E28" s="156" t="s">
        <v>1017</v>
      </c>
      <c r="F28" s="156" t="s">
        <v>1018</v>
      </c>
      <c r="G28" s="32" t="s">
        <v>1019</v>
      </c>
      <c r="H28" s="156" t="s">
        <v>1020</v>
      </c>
    </row>
    <row r="29" spans="1:8" ht="21.75" thickBot="1">
      <c r="A29" s="146" t="s">
        <v>377</v>
      </c>
      <c r="B29" s="144" t="s">
        <v>378</v>
      </c>
      <c r="C29" s="147" t="s">
        <v>379</v>
      </c>
      <c r="E29" s="157" t="s">
        <v>1021</v>
      </c>
      <c r="F29" s="157" t="s">
        <v>1022</v>
      </c>
      <c r="G29" s="157" t="s">
        <v>1023</v>
      </c>
      <c r="H29" s="157" t="s">
        <v>1030</v>
      </c>
    </row>
    <row r="30" spans="1:8" ht="21">
      <c r="A30" s="148" t="s">
        <v>380</v>
      </c>
      <c r="B30" s="145" t="s">
        <v>381</v>
      </c>
      <c r="C30" s="149" t="s">
        <v>382</v>
      </c>
    </row>
    <row r="31" spans="1:8" ht="21">
      <c r="A31" s="146" t="s">
        <v>383</v>
      </c>
      <c r="B31" s="144" t="s">
        <v>383</v>
      </c>
      <c r="C31" s="147" t="s">
        <v>384</v>
      </c>
    </row>
    <row r="32" spans="1:8" ht="21">
      <c r="A32" s="148" t="s">
        <v>385</v>
      </c>
      <c r="B32" s="145" t="s">
        <v>385</v>
      </c>
      <c r="C32" s="149" t="s">
        <v>386</v>
      </c>
    </row>
    <row r="33" spans="1:3" ht="21">
      <c r="A33" s="146" t="s">
        <v>387</v>
      </c>
      <c r="B33" s="144" t="s">
        <v>387</v>
      </c>
      <c r="C33" s="147" t="s">
        <v>388</v>
      </c>
    </row>
    <row r="34" spans="1:3" ht="21">
      <c r="A34" s="148" t="s">
        <v>389</v>
      </c>
      <c r="B34" s="145" t="s">
        <v>390</v>
      </c>
      <c r="C34" s="149" t="s">
        <v>391</v>
      </c>
    </row>
    <row r="35" spans="1:3" ht="21">
      <c r="A35" s="146" t="s">
        <v>392</v>
      </c>
      <c r="B35" s="144" t="s">
        <v>393</v>
      </c>
      <c r="C35" s="147" t="s">
        <v>394</v>
      </c>
    </row>
    <row r="36" spans="1:3" ht="21">
      <c r="A36" s="148" t="s">
        <v>395</v>
      </c>
      <c r="B36" s="145" t="s">
        <v>396</v>
      </c>
      <c r="C36" s="149" t="s">
        <v>397</v>
      </c>
    </row>
    <row r="37" spans="1:3" ht="21">
      <c r="A37" s="146" t="s">
        <v>398</v>
      </c>
      <c r="B37" s="144" t="s">
        <v>399</v>
      </c>
      <c r="C37" s="147" t="s">
        <v>400</v>
      </c>
    </row>
    <row r="38" spans="1:3" ht="21">
      <c r="A38" s="148" t="s">
        <v>401</v>
      </c>
      <c r="B38" s="145" t="s">
        <v>401</v>
      </c>
      <c r="C38" s="149" t="s">
        <v>402</v>
      </c>
    </row>
    <row r="39" spans="1:3" ht="42">
      <c r="A39" s="146" t="s">
        <v>403</v>
      </c>
      <c r="B39" s="144" t="s">
        <v>404</v>
      </c>
      <c r="C39" s="147" t="s">
        <v>405</v>
      </c>
    </row>
    <row r="40" spans="1:3" ht="21">
      <c r="A40" s="148" t="s">
        <v>406</v>
      </c>
      <c r="B40" s="145" t="s">
        <v>407</v>
      </c>
      <c r="C40" s="149" t="s">
        <v>408</v>
      </c>
    </row>
    <row r="41" spans="1:3" ht="21">
      <c r="A41" s="146" t="s">
        <v>409</v>
      </c>
      <c r="B41" s="144" t="s">
        <v>410</v>
      </c>
      <c r="C41" s="147" t="s">
        <v>411</v>
      </c>
    </row>
    <row r="42" spans="1:3" ht="21">
      <c r="A42" s="148" t="s">
        <v>412</v>
      </c>
      <c r="B42" s="145" t="s">
        <v>413</v>
      </c>
      <c r="C42" s="149" t="s">
        <v>414</v>
      </c>
    </row>
    <row r="43" spans="1:3" ht="21">
      <c r="A43" s="146" t="s">
        <v>415</v>
      </c>
      <c r="B43" s="144" t="s">
        <v>416</v>
      </c>
      <c r="C43" s="147" t="s">
        <v>417</v>
      </c>
    </row>
    <row r="44" spans="1:3" ht="21">
      <c r="A44" s="148" t="s">
        <v>418</v>
      </c>
      <c r="B44" s="145" t="s">
        <v>419</v>
      </c>
      <c r="C44" s="149" t="s">
        <v>420</v>
      </c>
    </row>
    <row r="45" spans="1:3" ht="42">
      <c r="A45" s="146" t="s">
        <v>421</v>
      </c>
      <c r="B45" s="144" t="s">
        <v>422</v>
      </c>
      <c r="C45" s="147" t="s">
        <v>423</v>
      </c>
    </row>
    <row r="46" spans="1:3" ht="21">
      <c r="A46" s="148" t="s">
        <v>424</v>
      </c>
      <c r="B46" s="145" t="s">
        <v>425</v>
      </c>
      <c r="C46" s="149" t="s">
        <v>426</v>
      </c>
    </row>
    <row r="47" spans="1:3" ht="21">
      <c r="A47" s="146" t="s">
        <v>427</v>
      </c>
      <c r="B47" s="144" t="s">
        <v>428</v>
      </c>
      <c r="C47" s="147" t="s">
        <v>429</v>
      </c>
    </row>
    <row r="48" spans="1:3" ht="42">
      <c r="A48" s="148" t="s">
        <v>430</v>
      </c>
      <c r="B48" s="145" t="s">
        <v>431</v>
      </c>
      <c r="C48" s="149" t="s">
        <v>432</v>
      </c>
    </row>
    <row r="49" spans="1:3" ht="21">
      <c r="A49" s="146" t="s">
        <v>433</v>
      </c>
      <c r="B49" s="144" t="s">
        <v>434</v>
      </c>
      <c r="C49" s="147" t="s">
        <v>435</v>
      </c>
    </row>
    <row r="50" spans="1:3" ht="21">
      <c r="A50" s="148" t="s">
        <v>436</v>
      </c>
      <c r="B50" s="145" t="s">
        <v>437</v>
      </c>
      <c r="C50" s="149" t="s">
        <v>438</v>
      </c>
    </row>
    <row r="51" spans="1:3" ht="21">
      <c r="A51" s="146" t="s">
        <v>439</v>
      </c>
      <c r="B51" s="144" t="s">
        <v>440</v>
      </c>
      <c r="C51" s="147" t="s">
        <v>441</v>
      </c>
    </row>
    <row r="52" spans="1:3" ht="21">
      <c r="A52" s="148" t="s">
        <v>442</v>
      </c>
      <c r="B52" s="145" t="s">
        <v>443</v>
      </c>
      <c r="C52" s="149" t="s">
        <v>444</v>
      </c>
    </row>
    <row r="53" spans="1:3" ht="21">
      <c r="A53" s="146" t="s">
        <v>445</v>
      </c>
      <c r="B53" s="144" t="s">
        <v>446</v>
      </c>
      <c r="C53" s="147" t="s">
        <v>447</v>
      </c>
    </row>
    <row r="54" spans="1:3" ht="21">
      <c r="A54" s="148" t="s">
        <v>448</v>
      </c>
      <c r="B54" s="145" t="s">
        <v>449</v>
      </c>
      <c r="C54" s="149" t="s">
        <v>450</v>
      </c>
    </row>
    <row r="55" spans="1:3" ht="21">
      <c r="A55" s="146" t="s">
        <v>451</v>
      </c>
      <c r="B55" s="144" t="s">
        <v>452</v>
      </c>
      <c r="C55" s="147" t="s">
        <v>453</v>
      </c>
    </row>
    <row r="56" spans="1:3" ht="21">
      <c r="A56" s="148" t="s">
        <v>454</v>
      </c>
      <c r="B56" s="145" t="s">
        <v>455</v>
      </c>
      <c r="C56" s="149" t="s">
        <v>456</v>
      </c>
    </row>
    <row r="57" spans="1:3" ht="42">
      <c r="A57" s="146" t="s">
        <v>457</v>
      </c>
      <c r="B57" s="144" t="s">
        <v>458</v>
      </c>
      <c r="C57" s="147" t="s">
        <v>459</v>
      </c>
    </row>
    <row r="58" spans="1:3" ht="26.25" customHeight="1">
      <c r="A58" s="148" t="s">
        <v>460</v>
      </c>
      <c r="B58" s="145" t="s">
        <v>461</v>
      </c>
      <c r="C58" s="149" t="s">
        <v>462</v>
      </c>
    </row>
    <row r="59" spans="1:3" ht="21">
      <c r="A59" s="146" t="s">
        <v>463</v>
      </c>
      <c r="B59" s="144" t="s">
        <v>464</v>
      </c>
      <c r="C59" s="147" t="s">
        <v>465</v>
      </c>
    </row>
    <row r="60" spans="1:3" ht="21">
      <c r="A60" s="148" t="s">
        <v>466</v>
      </c>
      <c r="B60" s="145" t="s">
        <v>467</v>
      </c>
      <c r="C60" s="149" t="s">
        <v>468</v>
      </c>
    </row>
    <row r="61" spans="1:3" ht="21">
      <c r="A61" s="146" t="s">
        <v>469</v>
      </c>
      <c r="B61" s="144" t="s">
        <v>470</v>
      </c>
      <c r="C61" s="147" t="s">
        <v>471</v>
      </c>
    </row>
    <row r="62" spans="1:3" ht="21">
      <c r="A62" s="148" t="s">
        <v>472</v>
      </c>
      <c r="B62" s="145" t="s">
        <v>473</v>
      </c>
      <c r="C62" s="149" t="s">
        <v>474</v>
      </c>
    </row>
    <row r="63" spans="1:3" ht="21">
      <c r="A63" s="146" t="s">
        <v>475</v>
      </c>
      <c r="B63" s="144" t="s">
        <v>476</v>
      </c>
      <c r="C63" s="147" t="s">
        <v>477</v>
      </c>
    </row>
    <row r="64" spans="1:3" ht="21">
      <c r="A64" s="148" t="s">
        <v>478</v>
      </c>
      <c r="B64" s="145" t="s">
        <v>478</v>
      </c>
      <c r="C64" s="149" t="s">
        <v>479</v>
      </c>
    </row>
    <row r="65" spans="1:3" ht="21">
      <c r="A65" s="146" t="s">
        <v>480</v>
      </c>
      <c r="B65" s="144" t="s">
        <v>481</v>
      </c>
      <c r="C65" s="147" t="s">
        <v>482</v>
      </c>
    </row>
    <row r="66" spans="1:3" ht="21">
      <c r="A66" s="148" t="s">
        <v>483</v>
      </c>
      <c r="B66" s="145" t="s">
        <v>484</v>
      </c>
      <c r="C66" s="149" t="s">
        <v>485</v>
      </c>
    </row>
    <row r="67" spans="1:3" ht="21">
      <c r="A67" s="146" t="s">
        <v>486</v>
      </c>
      <c r="B67" s="144" t="b">
        <v>0</v>
      </c>
      <c r="C67" s="147" t="s">
        <v>487</v>
      </c>
    </row>
    <row r="68" spans="1:3" ht="21">
      <c r="A68" s="148" t="s">
        <v>488</v>
      </c>
      <c r="B68" s="145" t="s">
        <v>489</v>
      </c>
      <c r="C68" s="149" t="s">
        <v>490</v>
      </c>
    </row>
    <row r="69" spans="1:3" ht="21">
      <c r="A69" s="146" t="s">
        <v>491</v>
      </c>
      <c r="B69" s="144" t="s">
        <v>492</v>
      </c>
      <c r="C69" s="147" t="s">
        <v>493</v>
      </c>
    </row>
    <row r="70" spans="1:3" ht="21">
      <c r="A70" s="148" t="s">
        <v>494</v>
      </c>
      <c r="B70" s="145" t="s">
        <v>495</v>
      </c>
      <c r="C70" s="149" t="s">
        <v>496</v>
      </c>
    </row>
    <row r="71" spans="1:3" ht="21">
      <c r="A71" s="146" t="s">
        <v>497</v>
      </c>
      <c r="B71" s="144" t="s">
        <v>497</v>
      </c>
      <c r="C71" s="147" t="s">
        <v>498</v>
      </c>
    </row>
    <row r="72" spans="1:3" ht="21">
      <c r="A72" s="148" t="s">
        <v>499</v>
      </c>
      <c r="B72" s="145" t="s">
        <v>500</v>
      </c>
      <c r="C72" s="149" t="s">
        <v>501</v>
      </c>
    </row>
    <row r="73" spans="1:3" ht="21">
      <c r="A73" s="146" t="s">
        <v>502</v>
      </c>
      <c r="B73" s="144" t="s">
        <v>503</v>
      </c>
      <c r="C73" s="147" t="s">
        <v>504</v>
      </c>
    </row>
    <row r="74" spans="1:3" ht="21">
      <c r="A74" s="148" t="s">
        <v>505</v>
      </c>
      <c r="B74" s="145" t="s">
        <v>506</v>
      </c>
      <c r="C74" s="149" t="s">
        <v>507</v>
      </c>
    </row>
    <row r="75" spans="1:3" ht="21">
      <c r="A75" s="146" t="s">
        <v>508</v>
      </c>
      <c r="B75" s="144" t="s">
        <v>509</v>
      </c>
      <c r="C75" s="147" t="s">
        <v>510</v>
      </c>
    </row>
    <row r="76" spans="1:3" ht="21">
      <c r="A76" s="148" t="s">
        <v>511</v>
      </c>
      <c r="B76" s="145" t="s">
        <v>512</v>
      </c>
      <c r="C76" s="149" t="s">
        <v>513</v>
      </c>
    </row>
    <row r="77" spans="1:3" ht="21">
      <c r="A77" s="146" t="s">
        <v>514</v>
      </c>
      <c r="B77" s="144" t="s">
        <v>515</v>
      </c>
      <c r="C77" s="147" t="s">
        <v>516</v>
      </c>
    </row>
    <row r="78" spans="1:3" ht="21">
      <c r="A78" s="148" t="s">
        <v>517</v>
      </c>
      <c r="B78" s="145" t="s">
        <v>518</v>
      </c>
      <c r="C78" s="149" t="s">
        <v>519</v>
      </c>
    </row>
    <row r="79" spans="1:3" ht="21">
      <c r="A79" s="146" t="s">
        <v>520</v>
      </c>
      <c r="B79" s="144" t="s">
        <v>521</v>
      </c>
      <c r="C79" s="147" t="s">
        <v>522</v>
      </c>
    </row>
    <row r="80" spans="1:3" ht="21">
      <c r="A80" s="148" t="s">
        <v>523</v>
      </c>
      <c r="B80" s="145" t="s">
        <v>524</v>
      </c>
      <c r="C80" s="149" t="s">
        <v>525</v>
      </c>
    </row>
    <row r="81" spans="1:3" ht="21">
      <c r="A81" s="146" t="s">
        <v>526</v>
      </c>
      <c r="B81" s="144" t="s">
        <v>527</v>
      </c>
      <c r="C81" s="147" t="s">
        <v>528</v>
      </c>
    </row>
    <row r="82" spans="1:3" ht="21">
      <c r="A82" s="148" t="s">
        <v>529</v>
      </c>
      <c r="B82" s="145" t="s">
        <v>530</v>
      </c>
      <c r="C82" s="149" t="s">
        <v>531</v>
      </c>
    </row>
    <row r="83" spans="1:3" ht="21">
      <c r="A83" s="146" t="s">
        <v>532</v>
      </c>
      <c r="B83" s="144" t="s">
        <v>533</v>
      </c>
      <c r="C83" s="147" t="s">
        <v>534</v>
      </c>
    </row>
    <row r="84" spans="1:3" ht="21">
      <c r="A84" s="148" t="s">
        <v>535</v>
      </c>
      <c r="B84" s="145" t="s">
        <v>536</v>
      </c>
      <c r="C84" s="149" t="s">
        <v>537</v>
      </c>
    </row>
    <row r="85" spans="1:3" ht="21">
      <c r="A85" s="146" t="s">
        <v>538</v>
      </c>
      <c r="B85" s="144" t="s">
        <v>539</v>
      </c>
      <c r="C85" s="147" t="s">
        <v>540</v>
      </c>
    </row>
    <row r="86" spans="1:3" ht="21">
      <c r="A86" s="148" t="s">
        <v>541</v>
      </c>
      <c r="B86" s="145" t="s">
        <v>542</v>
      </c>
      <c r="C86" s="149" t="s">
        <v>543</v>
      </c>
    </row>
    <row r="87" spans="1:3" ht="21">
      <c r="A87" s="146" t="s">
        <v>544</v>
      </c>
      <c r="B87" s="144" t="s">
        <v>545</v>
      </c>
      <c r="C87" s="147" t="s">
        <v>546</v>
      </c>
    </row>
    <row r="88" spans="1:3" ht="42">
      <c r="A88" s="148" t="s">
        <v>547</v>
      </c>
      <c r="B88" s="145" t="s">
        <v>547</v>
      </c>
      <c r="C88" s="149" t="s">
        <v>548</v>
      </c>
    </row>
    <row r="89" spans="1:3" ht="21">
      <c r="A89" s="146" t="s">
        <v>549</v>
      </c>
      <c r="B89" s="144" t="s">
        <v>550</v>
      </c>
      <c r="C89" s="147" t="s">
        <v>551</v>
      </c>
    </row>
    <row r="90" spans="1:3" ht="21">
      <c r="A90" s="148" t="s">
        <v>552</v>
      </c>
      <c r="B90" s="145" t="s">
        <v>553</v>
      </c>
      <c r="C90" s="149" t="s">
        <v>554</v>
      </c>
    </row>
    <row r="91" spans="1:3" ht="21">
      <c r="A91" s="146" t="s">
        <v>555</v>
      </c>
      <c r="B91" s="144" t="s">
        <v>556</v>
      </c>
      <c r="C91" s="147" t="s">
        <v>557</v>
      </c>
    </row>
    <row r="92" spans="1:3" ht="21">
      <c r="A92" s="148" t="s">
        <v>558</v>
      </c>
      <c r="B92" s="145" t="s">
        <v>559</v>
      </c>
      <c r="C92" s="149" t="s">
        <v>560</v>
      </c>
    </row>
    <row r="93" spans="1:3" ht="21">
      <c r="A93" s="146" t="s">
        <v>561</v>
      </c>
      <c r="B93" s="144" t="s">
        <v>562</v>
      </c>
      <c r="C93" s="147" t="s">
        <v>563</v>
      </c>
    </row>
    <row r="94" spans="1:3" ht="21">
      <c r="A94" s="148" t="s">
        <v>564</v>
      </c>
      <c r="B94" s="145" t="s">
        <v>564</v>
      </c>
      <c r="C94" s="149" t="s">
        <v>565</v>
      </c>
    </row>
    <row r="95" spans="1:3" ht="21">
      <c r="A95" s="146" t="s">
        <v>566</v>
      </c>
      <c r="B95" s="144" t="s">
        <v>567</v>
      </c>
      <c r="C95" s="147" t="s">
        <v>568</v>
      </c>
    </row>
    <row r="96" spans="1:3" ht="21">
      <c r="A96" s="148" t="s">
        <v>569</v>
      </c>
      <c r="B96" s="145" t="s">
        <v>570</v>
      </c>
      <c r="C96" s="149" t="s">
        <v>571</v>
      </c>
    </row>
    <row r="97" spans="1:3" ht="21">
      <c r="A97" s="146" t="s">
        <v>572</v>
      </c>
      <c r="B97" s="144" t="s">
        <v>573</v>
      </c>
      <c r="C97" s="147" t="s">
        <v>574</v>
      </c>
    </row>
    <row r="98" spans="1:3" ht="21">
      <c r="A98" s="148" t="s">
        <v>575</v>
      </c>
      <c r="B98" s="145" t="s">
        <v>576</v>
      </c>
      <c r="C98" s="149" t="s">
        <v>577</v>
      </c>
    </row>
    <row r="99" spans="1:3" ht="21">
      <c r="A99" s="146" t="s">
        <v>578</v>
      </c>
      <c r="B99" s="144" t="s">
        <v>579</v>
      </c>
      <c r="C99" s="147" t="s">
        <v>580</v>
      </c>
    </row>
    <row r="100" spans="1:3" ht="21">
      <c r="A100" s="148" t="s">
        <v>581</v>
      </c>
      <c r="B100" s="145" t="s">
        <v>582</v>
      </c>
      <c r="C100" s="149" t="s">
        <v>583</v>
      </c>
    </row>
    <row r="101" spans="1:3" ht="21">
      <c r="A101" s="146" t="s">
        <v>584</v>
      </c>
      <c r="B101" s="144" t="s">
        <v>585</v>
      </c>
      <c r="C101" s="147" t="s">
        <v>586</v>
      </c>
    </row>
    <row r="102" spans="1:3" ht="21">
      <c r="A102" s="148" t="s">
        <v>587</v>
      </c>
      <c r="B102" s="145" t="s">
        <v>588</v>
      </c>
      <c r="C102" s="149" t="s">
        <v>589</v>
      </c>
    </row>
    <row r="103" spans="1:3" ht="21">
      <c r="A103" s="146" t="s">
        <v>590</v>
      </c>
      <c r="B103" s="144" t="s">
        <v>591</v>
      </c>
      <c r="C103" s="147" t="s">
        <v>592</v>
      </c>
    </row>
    <row r="104" spans="1:3" ht="21">
      <c r="A104" s="148" t="s">
        <v>593</v>
      </c>
      <c r="B104" s="145" t="s">
        <v>594</v>
      </c>
      <c r="C104" s="149" t="s">
        <v>595</v>
      </c>
    </row>
    <row r="105" spans="1:3" ht="21">
      <c r="A105" s="146" t="s">
        <v>596</v>
      </c>
      <c r="B105" s="144" t="s">
        <v>597</v>
      </c>
      <c r="C105" s="147" t="s">
        <v>598</v>
      </c>
    </row>
    <row r="106" spans="1:3" ht="21">
      <c r="A106" s="148" t="s">
        <v>599</v>
      </c>
      <c r="B106" s="145" t="s">
        <v>600</v>
      </c>
      <c r="C106" s="149" t="s">
        <v>601</v>
      </c>
    </row>
    <row r="107" spans="1:3" ht="21">
      <c r="A107" s="146" t="s">
        <v>602</v>
      </c>
      <c r="B107" s="144" t="s">
        <v>603</v>
      </c>
      <c r="C107" s="147" t="s">
        <v>604</v>
      </c>
    </row>
    <row r="108" spans="1:3" ht="21">
      <c r="A108" s="148" t="s">
        <v>605</v>
      </c>
      <c r="B108" s="145" t="s">
        <v>606</v>
      </c>
      <c r="C108" s="149" t="s">
        <v>607</v>
      </c>
    </row>
    <row r="109" spans="1:3" ht="21">
      <c r="A109" s="146" t="s">
        <v>608</v>
      </c>
      <c r="B109" s="144" t="s">
        <v>609</v>
      </c>
      <c r="C109" s="147" t="s">
        <v>610</v>
      </c>
    </row>
    <row r="110" spans="1:3" ht="21">
      <c r="A110" s="148" t="s">
        <v>611</v>
      </c>
      <c r="B110" s="145" t="s">
        <v>612</v>
      </c>
      <c r="C110" s="149" t="s">
        <v>613</v>
      </c>
    </row>
    <row r="111" spans="1:3" ht="21">
      <c r="A111" s="146" t="s">
        <v>614</v>
      </c>
      <c r="B111" s="144" t="s">
        <v>615</v>
      </c>
      <c r="C111" s="147" t="s">
        <v>616</v>
      </c>
    </row>
    <row r="112" spans="1:3" ht="21">
      <c r="A112" s="148" t="s">
        <v>617</v>
      </c>
      <c r="B112" s="145" t="s">
        <v>617</v>
      </c>
      <c r="C112" s="149" t="s">
        <v>618</v>
      </c>
    </row>
    <row r="113" spans="1:3" ht="21">
      <c r="A113" s="146" t="s">
        <v>619</v>
      </c>
      <c r="B113" s="144" t="s">
        <v>619</v>
      </c>
      <c r="C113" s="147" t="s">
        <v>620</v>
      </c>
    </row>
    <row r="114" spans="1:3" ht="21">
      <c r="A114" s="148" t="s">
        <v>621</v>
      </c>
      <c r="B114" s="145" t="s">
        <v>621</v>
      </c>
      <c r="C114" s="149" t="s">
        <v>622</v>
      </c>
    </row>
    <row r="115" spans="1:3" ht="21">
      <c r="A115" s="146" t="s">
        <v>623</v>
      </c>
      <c r="B115" s="144" t="s">
        <v>624</v>
      </c>
      <c r="C115" s="147" t="s">
        <v>625</v>
      </c>
    </row>
    <row r="116" spans="1:3" ht="21">
      <c r="A116" s="148" t="s">
        <v>626</v>
      </c>
      <c r="B116" s="145" t="s">
        <v>627</v>
      </c>
      <c r="C116" s="149" t="s">
        <v>628</v>
      </c>
    </row>
    <row r="117" spans="1:3" ht="21">
      <c r="A117" s="146" t="s">
        <v>629</v>
      </c>
      <c r="B117" s="144" t="s">
        <v>630</v>
      </c>
      <c r="C117" s="147" t="s">
        <v>631</v>
      </c>
    </row>
    <row r="118" spans="1:3" ht="21">
      <c r="A118" s="148" t="s">
        <v>632</v>
      </c>
      <c r="B118" s="145" t="s">
        <v>633</v>
      </c>
      <c r="C118" s="149" t="s">
        <v>634</v>
      </c>
    </row>
    <row r="119" spans="1:3" ht="21">
      <c r="A119" s="146" t="s">
        <v>635</v>
      </c>
      <c r="B119" s="144" t="s">
        <v>636</v>
      </c>
      <c r="C119" s="147" t="s">
        <v>637</v>
      </c>
    </row>
    <row r="120" spans="1:3" ht="21">
      <c r="A120" s="148" t="s">
        <v>638</v>
      </c>
      <c r="B120" s="145" t="s">
        <v>639</v>
      </c>
      <c r="C120" s="149" t="s">
        <v>640</v>
      </c>
    </row>
    <row r="121" spans="1:3" ht="21">
      <c r="A121" s="146" t="s">
        <v>641</v>
      </c>
      <c r="B121" s="144" t="s">
        <v>642</v>
      </c>
      <c r="C121" s="147" t="s">
        <v>643</v>
      </c>
    </row>
    <row r="122" spans="1:3" ht="21">
      <c r="A122" s="148" t="s">
        <v>644</v>
      </c>
      <c r="B122" s="145" t="s">
        <v>645</v>
      </c>
      <c r="C122" s="149" t="s">
        <v>646</v>
      </c>
    </row>
    <row r="123" spans="1:3" ht="21">
      <c r="A123" s="146" t="s">
        <v>647</v>
      </c>
      <c r="B123" s="144" t="s">
        <v>648</v>
      </c>
      <c r="C123" s="147" t="s">
        <v>649</v>
      </c>
    </row>
    <row r="124" spans="1:3" ht="21">
      <c r="A124" s="148" t="s">
        <v>650</v>
      </c>
      <c r="B124" s="145" t="s">
        <v>651</v>
      </c>
      <c r="C124" s="149" t="s">
        <v>652</v>
      </c>
    </row>
    <row r="125" spans="1:3" ht="42">
      <c r="A125" s="146" t="s">
        <v>653</v>
      </c>
      <c r="B125" s="144" t="s">
        <v>654</v>
      </c>
      <c r="C125" s="147" t="s">
        <v>655</v>
      </c>
    </row>
    <row r="126" spans="1:3" ht="21">
      <c r="A126" s="148" t="s">
        <v>656</v>
      </c>
      <c r="B126" s="145" t="s">
        <v>657</v>
      </c>
      <c r="C126" s="149" t="s">
        <v>658</v>
      </c>
    </row>
    <row r="127" spans="1:3" ht="21">
      <c r="A127" s="146" t="s">
        <v>659</v>
      </c>
      <c r="B127" s="144" t="s">
        <v>660</v>
      </c>
      <c r="C127" s="147" t="s">
        <v>661</v>
      </c>
    </row>
    <row r="128" spans="1:3" ht="21">
      <c r="A128" s="148" t="s">
        <v>662</v>
      </c>
      <c r="B128" s="145" t="s">
        <v>663</v>
      </c>
      <c r="C128" s="149" t="s">
        <v>664</v>
      </c>
    </row>
    <row r="129" spans="1:3" ht="21">
      <c r="A129" s="146" t="s">
        <v>665</v>
      </c>
      <c r="B129" s="144" t="s">
        <v>666</v>
      </c>
      <c r="C129" s="147" t="s">
        <v>667</v>
      </c>
    </row>
    <row r="130" spans="1:3" ht="42">
      <c r="A130" s="148" t="s">
        <v>668</v>
      </c>
      <c r="B130" s="145" t="s">
        <v>669</v>
      </c>
      <c r="C130" s="149" t="s">
        <v>670</v>
      </c>
    </row>
    <row r="131" spans="1:3" ht="21">
      <c r="A131" s="146" t="s">
        <v>671</v>
      </c>
      <c r="B131" s="144" t="s">
        <v>672</v>
      </c>
      <c r="C131" s="147" t="s">
        <v>673</v>
      </c>
    </row>
    <row r="132" spans="1:3" ht="21">
      <c r="A132" s="148" t="s">
        <v>674</v>
      </c>
      <c r="B132" s="145" t="s">
        <v>674</v>
      </c>
      <c r="C132" s="149" t="s">
        <v>675</v>
      </c>
    </row>
    <row r="133" spans="1:3" ht="21">
      <c r="A133" s="146" t="s">
        <v>676</v>
      </c>
      <c r="B133" s="144" t="s">
        <v>677</v>
      </c>
      <c r="C133" s="147" t="s">
        <v>678</v>
      </c>
    </row>
    <row r="134" spans="1:3" ht="21">
      <c r="A134" s="148" t="s">
        <v>679</v>
      </c>
      <c r="B134" s="145" t="s">
        <v>680</v>
      </c>
      <c r="C134" s="149" t="s">
        <v>681</v>
      </c>
    </row>
    <row r="135" spans="1:3" ht="21">
      <c r="A135" s="146" t="s">
        <v>682</v>
      </c>
      <c r="B135" s="144" t="s">
        <v>682</v>
      </c>
      <c r="C135" s="147" t="s">
        <v>683</v>
      </c>
    </row>
    <row r="136" spans="1:3" ht="21">
      <c r="A136" s="148" t="s">
        <v>684</v>
      </c>
      <c r="B136" s="145" t="s">
        <v>685</v>
      </c>
      <c r="C136" s="149" t="s">
        <v>686</v>
      </c>
    </row>
    <row r="137" spans="1:3" ht="21">
      <c r="A137" s="146" t="s">
        <v>687</v>
      </c>
      <c r="B137" s="144" t="s">
        <v>688</v>
      </c>
      <c r="C137" s="147" t="s">
        <v>689</v>
      </c>
    </row>
    <row r="138" spans="1:3" ht="21">
      <c r="A138" s="148" t="s">
        <v>690</v>
      </c>
      <c r="B138" s="145" t="s">
        <v>691</v>
      </c>
      <c r="C138" s="149" t="s">
        <v>692</v>
      </c>
    </row>
    <row r="139" spans="1:3" ht="21">
      <c r="A139" s="146" t="s">
        <v>693</v>
      </c>
      <c r="B139" s="144" t="s">
        <v>694</v>
      </c>
      <c r="C139" s="147" t="s">
        <v>695</v>
      </c>
    </row>
    <row r="140" spans="1:3" ht="21">
      <c r="A140" s="148" t="s">
        <v>696</v>
      </c>
      <c r="B140" s="145" t="s">
        <v>697</v>
      </c>
      <c r="C140" s="149" t="s">
        <v>698</v>
      </c>
    </row>
    <row r="141" spans="1:3" ht="21">
      <c r="A141" s="146" t="s">
        <v>699</v>
      </c>
      <c r="B141" s="144" t="s">
        <v>700</v>
      </c>
      <c r="C141" s="147" t="s">
        <v>701</v>
      </c>
    </row>
    <row r="142" spans="1:3" ht="21">
      <c r="A142" s="148" t="s">
        <v>702</v>
      </c>
      <c r="B142" s="145" t="s">
        <v>703</v>
      </c>
      <c r="C142" s="149" t="s">
        <v>704</v>
      </c>
    </row>
    <row r="143" spans="1:3" ht="21">
      <c r="A143" s="146" t="s">
        <v>705</v>
      </c>
      <c r="B143" s="144" t="s">
        <v>706</v>
      </c>
      <c r="C143" s="147" t="s">
        <v>707</v>
      </c>
    </row>
    <row r="144" spans="1:3" ht="21">
      <c r="A144" s="148" t="s">
        <v>708</v>
      </c>
      <c r="B144" s="145" t="s">
        <v>708</v>
      </c>
      <c r="C144" s="149" t="s">
        <v>709</v>
      </c>
    </row>
    <row r="145" spans="1:3" ht="42">
      <c r="A145" s="146" t="s">
        <v>710</v>
      </c>
      <c r="B145" s="144" t="s">
        <v>711</v>
      </c>
      <c r="C145" s="147" t="s">
        <v>712</v>
      </c>
    </row>
    <row r="146" spans="1:3" ht="21">
      <c r="A146" s="148" t="s">
        <v>713</v>
      </c>
      <c r="B146" s="145" t="s">
        <v>714</v>
      </c>
      <c r="C146" s="149" t="s">
        <v>715</v>
      </c>
    </row>
    <row r="147" spans="1:3" ht="21">
      <c r="A147" s="146" t="s">
        <v>716</v>
      </c>
      <c r="B147" s="144" t="s">
        <v>717</v>
      </c>
      <c r="C147" s="147" t="s">
        <v>718</v>
      </c>
    </row>
    <row r="148" spans="1:3" ht="21">
      <c r="A148" s="148" t="s">
        <v>719</v>
      </c>
      <c r="B148" s="145" t="s">
        <v>720</v>
      </c>
      <c r="C148" s="149" t="s">
        <v>721</v>
      </c>
    </row>
    <row r="149" spans="1:3" ht="21">
      <c r="A149" s="146" t="s">
        <v>722</v>
      </c>
      <c r="B149" s="144" t="s">
        <v>722</v>
      </c>
      <c r="C149" s="147" t="s">
        <v>723</v>
      </c>
    </row>
    <row r="150" spans="1:3" ht="21">
      <c r="A150" s="148" t="s">
        <v>724</v>
      </c>
      <c r="B150" s="145" t="s">
        <v>725</v>
      </c>
      <c r="C150" s="149" t="s">
        <v>726</v>
      </c>
    </row>
    <row r="151" spans="1:3" ht="21">
      <c r="A151" s="146" t="s">
        <v>727</v>
      </c>
      <c r="B151" s="144" t="s">
        <v>728</v>
      </c>
      <c r="C151" s="147" t="s">
        <v>729</v>
      </c>
    </row>
    <row r="152" spans="1:3" ht="21">
      <c r="A152" s="148" t="s">
        <v>730</v>
      </c>
      <c r="B152" s="145" t="s">
        <v>730</v>
      </c>
      <c r="C152" s="149" t="s">
        <v>731</v>
      </c>
    </row>
    <row r="153" spans="1:3" ht="21">
      <c r="A153" s="146" t="s">
        <v>732</v>
      </c>
      <c r="B153" s="144" t="s">
        <v>732</v>
      </c>
      <c r="C153" s="147" t="s">
        <v>733</v>
      </c>
    </row>
    <row r="154" spans="1:3" ht="21">
      <c r="A154" s="148" t="s">
        <v>734</v>
      </c>
      <c r="B154" s="145" t="s">
        <v>735</v>
      </c>
      <c r="C154" s="149" t="s">
        <v>736</v>
      </c>
    </row>
    <row r="155" spans="1:3" ht="21">
      <c r="A155" s="146" t="s">
        <v>737</v>
      </c>
      <c r="B155" s="144" t="s">
        <v>737</v>
      </c>
      <c r="C155" s="147" t="s">
        <v>738</v>
      </c>
    </row>
    <row r="156" spans="1:3" ht="21">
      <c r="A156" s="148" t="s">
        <v>739</v>
      </c>
      <c r="B156" s="145" t="s">
        <v>740</v>
      </c>
      <c r="C156" s="149" t="s">
        <v>741</v>
      </c>
    </row>
    <row r="157" spans="1:3" ht="21">
      <c r="A157" s="146" t="s">
        <v>742</v>
      </c>
      <c r="B157" s="144" t="s">
        <v>743</v>
      </c>
      <c r="C157" s="147" t="s">
        <v>744</v>
      </c>
    </row>
    <row r="158" spans="1:3" ht="21">
      <c r="A158" s="148" t="s">
        <v>745</v>
      </c>
      <c r="B158" s="145" t="s">
        <v>745</v>
      </c>
      <c r="C158" s="149" t="s">
        <v>746</v>
      </c>
    </row>
    <row r="159" spans="1:3" ht="21">
      <c r="A159" s="146" t="s">
        <v>747</v>
      </c>
      <c r="B159" s="144" t="s">
        <v>748</v>
      </c>
      <c r="C159" s="147" t="s">
        <v>749</v>
      </c>
    </row>
    <row r="160" spans="1:3" ht="21">
      <c r="A160" s="148" t="s">
        <v>750</v>
      </c>
      <c r="B160" s="145" t="s">
        <v>751</v>
      </c>
      <c r="C160" s="149" t="s">
        <v>752</v>
      </c>
    </row>
    <row r="161" spans="1:3" ht="21">
      <c r="A161" s="146" t="s">
        <v>753</v>
      </c>
      <c r="B161" s="144" t="s">
        <v>754</v>
      </c>
      <c r="C161" s="147" t="s">
        <v>755</v>
      </c>
    </row>
    <row r="162" spans="1:3" ht="21">
      <c r="A162" s="148" t="s">
        <v>756</v>
      </c>
      <c r="B162" s="145" t="s">
        <v>757</v>
      </c>
      <c r="C162" s="149" t="s">
        <v>758</v>
      </c>
    </row>
    <row r="163" spans="1:3" ht="21">
      <c r="A163" s="146" t="s">
        <v>759</v>
      </c>
      <c r="B163" s="144" t="s">
        <v>760</v>
      </c>
      <c r="C163" s="147" t="s">
        <v>761</v>
      </c>
    </row>
    <row r="164" spans="1:3" ht="21">
      <c r="A164" s="148" t="s">
        <v>762</v>
      </c>
      <c r="B164" s="145" t="s">
        <v>763</v>
      </c>
      <c r="C164" s="149" t="s">
        <v>764</v>
      </c>
    </row>
    <row r="165" spans="1:3" ht="21">
      <c r="A165" s="146" t="s">
        <v>765</v>
      </c>
      <c r="B165" s="144" t="s">
        <v>766</v>
      </c>
      <c r="C165" s="147" t="s">
        <v>767</v>
      </c>
    </row>
    <row r="166" spans="1:3" ht="21">
      <c r="A166" s="148" t="s">
        <v>768</v>
      </c>
      <c r="B166" s="145" t="s">
        <v>769</v>
      </c>
      <c r="C166" s="149" t="s">
        <v>770</v>
      </c>
    </row>
    <row r="167" spans="1:3" ht="21">
      <c r="A167" s="146" t="s">
        <v>771</v>
      </c>
      <c r="B167" s="144" t="s">
        <v>772</v>
      </c>
      <c r="C167" s="147" t="s">
        <v>773</v>
      </c>
    </row>
    <row r="168" spans="1:3" ht="21">
      <c r="A168" s="148" t="s">
        <v>774</v>
      </c>
      <c r="B168" s="145" t="s">
        <v>774</v>
      </c>
      <c r="C168" s="149" t="s">
        <v>775</v>
      </c>
    </row>
    <row r="169" spans="1:3" ht="21">
      <c r="A169" s="146" t="s">
        <v>776</v>
      </c>
      <c r="B169" s="144" t="s">
        <v>777</v>
      </c>
      <c r="C169" s="147" t="s">
        <v>778</v>
      </c>
    </row>
    <row r="170" spans="1:3" ht="21">
      <c r="A170" s="148" t="s">
        <v>779</v>
      </c>
      <c r="B170" s="145" t="s">
        <v>780</v>
      </c>
      <c r="C170" s="149" t="s">
        <v>781</v>
      </c>
    </row>
    <row r="171" spans="1:3" ht="21">
      <c r="A171" s="146" t="s">
        <v>782</v>
      </c>
      <c r="B171" s="144" t="s">
        <v>783</v>
      </c>
      <c r="C171" s="147" t="s">
        <v>784</v>
      </c>
    </row>
    <row r="172" spans="1:3" ht="21">
      <c r="A172" s="148" t="s">
        <v>785</v>
      </c>
      <c r="B172" s="145" t="s">
        <v>786</v>
      </c>
      <c r="C172" s="149" t="s">
        <v>787</v>
      </c>
    </row>
    <row r="173" spans="1:3" ht="21">
      <c r="A173" s="146" t="s">
        <v>788</v>
      </c>
      <c r="B173" s="144" t="s">
        <v>789</v>
      </c>
      <c r="C173" s="147" t="s">
        <v>790</v>
      </c>
    </row>
    <row r="174" spans="1:3" ht="21">
      <c r="A174" s="148" t="s">
        <v>791</v>
      </c>
      <c r="B174" s="145" t="s">
        <v>792</v>
      </c>
      <c r="C174" s="149" t="s">
        <v>793</v>
      </c>
    </row>
    <row r="175" spans="1:3" ht="21">
      <c r="A175" s="146" t="s">
        <v>794</v>
      </c>
      <c r="B175" s="144" t="s">
        <v>795</v>
      </c>
      <c r="C175" s="147" t="s">
        <v>796</v>
      </c>
    </row>
    <row r="176" spans="1:3" ht="21">
      <c r="A176" s="148" t="s">
        <v>797</v>
      </c>
      <c r="B176" s="145" t="s">
        <v>798</v>
      </c>
      <c r="C176" s="149" t="s">
        <v>799</v>
      </c>
    </row>
    <row r="177" spans="1:3" ht="21">
      <c r="A177" s="146" t="s">
        <v>800</v>
      </c>
      <c r="B177" s="144" t="s">
        <v>801</v>
      </c>
      <c r="C177" s="147" t="s">
        <v>802</v>
      </c>
    </row>
    <row r="178" spans="1:3" ht="21">
      <c r="A178" s="148" t="s">
        <v>803</v>
      </c>
      <c r="B178" s="145" t="s">
        <v>804</v>
      </c>
      <c r="C178" s="149" t="s">
        <v>805</v>
      </c>
    </row>
    <row r="179" spans="1:3" ht="21">
      <c r="A179" s="146" t="s">
        <v>806</v>
      </c>
      <c r="B179" s="144" t="s">
        <v>807</v>
      </c>
      <c r="C179" s="147" t="s">
        <v>808</v>
      </c>
    </row>
    <row r="180" spans="1:3" ht="21">
      <c r="A180" s="148" t="s">
        <v>809</v>
      </c>
      <c r="B180" s="145" t="s">
        <v>810</v>
      </c>
      <c r="C180" s="149" t="s">
        <v>811</v>
      </c>
    </row>
    <row r="181" spans="1:3" ht="21">
      <c r="A181" s="146" t="s">
        <v>812</v>
      </c>
      <c r="B181" s="144" t="s">
        <v>813</v>
      </c>
      <c r="C181" s="147" t="s">
        <v>814</v>
      </c>
    </row>
    <row r="182" spans="1:3" ht="21">
      <c r="A182" s="148" t="s">
        <v>815</v>
      </c>
      <c r="B182" s="145" t="s">
        <v>816</v>
      </c>
      <c r="C182" s="149" t="s">
        <v>817</v>
      </c>
    </row>
    <row r="183" spans="1:3" ht="21">
      <c r="A183" s="146" t="s">
        <v>818</v>
      </c>
      <c r="B183" s="144" t="s">
        <v>819</v>
      </c>
      <c r="C183" s="147" t="s">
        <v>820</v>
      </c>
    </row>
    <row r="184" spans="1:3" ht="21">
      <c r="A184" s="148" t="s">
        <v>821</v>
      </c>
      <c r="B184" s="145" t="s">
        <v>822</v>
      </c>
      <c r="C184" s="149" t="s">
        <v>823</v>
      </c>
    </row>
    <row r="185" spans="1:3" ht="21">
      <c r="A185" s="146" t="s">
        <v>824</v>
      </c>
      <c r="B185" s="144" t="s">
        <v>825</v>
      </c>
      <c r="C185" s="147" t="s">
        <v>826</v>
      </c>
    </row>
    <row r="186" spans="1:3" ht="21">
      <c r="A186" s="148" t="s">
        <v>827</v>
      </c>
      <c r="B186" s="145" t="s">
        <v>828</v>
      </c>
      <c r="C186" s="149" t="s">
        <v>829</v>
      </c>
    </row>
    <row r="187" spans="1:3" ht="21">
      <c r="A187" s="146" t="s">
        <v>830</v>
      </c>
      <c r="B187" s="144" t="s">
        <v>831</v>
      </c>
      <c r="C187" s="147" t="s">
        <v>832</v>
      </c>
    </row>
    <row r="188" spans="1:3" ht="21">
      <c r="A188" s="148" t="s">
        <v>833</v>
      </c>
      <c r="B188" s="145" t="s">
        <v>834</v>
      </c>
      <c r="C188" s="149" t="s">
        <v>835</v>
      </c>
    </row>
    <row r="189" spans="1:3" ht="21">
      <c r="A189" s="146" t="s">
        <v>836</v>
      </c>
      <c r="B189" s="144" t="s">
        <v>837</v>
      </c>
      <c r="C189" s="147" t="s">
        <v>838</v>
      </c>
    </row>
    <row r="190" spans="1:3" ht="21">
      <c r="A190" s="148" t="s">
        <v>839</v>
      </c>
      <c r="B190" s="145" t="s">
        <v>840</v>
      </c>
      <c r="C190" s="149" t="s">
        <v>841</v>
      </c>
    </row>
    <row r="191" spans="1:3" ht="21">
      <c r="A191" s="146" t="s">
        <v>842</v>
      </c>
      <c r="B191" s="144" t="s">
        <v>843</v>
      </c>
      <c r="C191" s="147" t="s">
        <v>844</v>
      </c>
    </row>
    <row r="192" spans="1:3" ht="21">
      <c r="A192" s="148" t="s">
        <v>845</v>
      </c>
      <c r="B192" s="145" t="s">
        <v>846</v>
      </c>
      <c r="C192" s="149" t="s">
        <v>847</v>
      </c>
    </row>
    <row r="193" spans="1:3" ht="21">
      <c r="A193" s="146" t="s">
        <v>848</v>
      </c>
      <c r="B193" s="144" t="s">
        <v>849</v>
      </c>
      <c r="C193" s="147" t="s">
        <v>850</v>
      </c>
    </row>
    <row r="194" spans="1:3" ht="21">
      <c r="A194" s="148" t="s">
        <v>851</v>
      </c>
      <c r="B194" s="145" t="s">
        <v>852</v>
      </c>
      <c r="C194" s="149" t="s">
        <v>853</v>
      </c>
    </row>
    <row r="195" spans="1:3" ht="21">
      <c r="A195" s="146" t="s">
        <v>854</v>
      </c>
      <c r="B195" s="144" t="s">
        <v>854</v>
      </c>
      <c r="C195" s="147" t="s">
        <v>855</v>
      </c>
    </row>
    <row r="196" spans="1:3" ht="21">
      <c r="A196" s="148" t="s">
        <v>856</v>
      </c>
      <c r="B196" s="145" t="s">
        <v>857</v>
      </c>
      <c r="C196" s="149" t="s">
        <v>858</v>
      </c>
    </row>
    <row r="197" spans="1:3" ht="21">
      <c r="A197" s="146" t="s">
        <v>859</v>
      </c>
      <c r="B197" s="144" t="s">
        <v>860</v>
      </c>
      <c r="C197" s="147" t="s">
        <v>861</v>
      </c>
    </row>
    <row r="198" spans="1:3" ht="21">
      <c r="A198" s="148" t="s">
        <v>862</v>
      </c>
      <c r="B198" s="145" t="s">
        <v>863</v>
      </c>
      <c r="C198" s="149" t="s">
        <v>864</v>
      </c>
    </row>
    <row r="199" spans="1:3" ht="21">
      <c r="A199" s="146" t="s">
        <v>865</v>
      </c>
      <c r="B199" s="144" t="s">
        <v>866</v>
      </c>
      <c r="C199" s="147" t="s">
        <v>867</v>
      </c>
    </row>
    <row r="200" spans="1:3" ht="21">
      <c r="A200" s="148" t="s">
        <v>868</v>
      </c>
      <c r="B200" s="145" t="s">
        <v>869</v>
      </c>
      <c r="C200" s="149" t="s">
        <v>870</v>
      </c>
    </row>
    <row r="201" spans="1:3" ht="21">
      <c r="A201" s="146" t="s">
        <v>871</v>
      </c>
      <c r="B201" s="144" t="s">
        <v>872</v>
      </c>
      <c r="C201" s="147" t="s">
        <v>873</v>
      </c>
    </row>
    <row r="202" spans="1:3" ht="21">
      <c r="A202" s="148" t="s">
        <v>874</v>
      </c>
      <c r="B202" s="145" t="s">
        <v>874</v>
      </c>
      <c r="C202" s="149" t="s">
        <v>875</v>
      </c>
    </row>
    <row r="203" spans="1:3" ht="21">
      <c r="A203" s="146" t="s">
        <v>876</v>
      </c>
      <c r="B203" s="144" t="s">
        <v>876</v>
      </c>
      <c r="C203" s="147" t="s">
        <v>877</v>
      </c>
    </row>
    <row r="204" spans="1:3" ht="21">
      <c r="A204" s="148" t="s">
        <v>878</v>
      </c>
      <c r="B204" s="145" t="s">
        <v>878</v>
      </c>
      <c r="C204" s="149" t="s">
        <v>879</v>
      </c>
    </row>
    <row r="205" spans="1:3" ht="21">
      <c r="A205" s="146" t="s">
        <v>880</v>
      </c>
      <c r="B205" s="144" t="s">
        <v>881</v>
      </c>
      <c r="C205" s="147" t="s">
        <v>882</v>
      </c>
    </row>
    <row r="206" spans="1:3" ht="21">
      <c r="A206" s="148" t="s">
        <v>883</v>
      </c>
      <c r="B206" s="145" t="s">
        <v>884</v>
      </c>
      <c r="C206" s="149" t="s">
        <v>885</v>
      </c>
    </row>
    <row r="207" spans="1:3" ht="21">
      <c r="A207" s="146" t="s">
        <v>886</v>
      </c>
      <c r="B207" s="144" t="s">
        <v>887</v>
      </c>
      <c r="C207" s="147" t="s">
        <v>888</v>
      </c>
    </row>
    <row r="208" spans="1:3" ht="21">
      <c r="A208" s="148" t="s">
        <v>889</v>
      </c>
      <c r="B208" s="145" t="s">
        <v>890</v>
      </c>
      <c r="C208" s="149" t="s">
        <v>891</v>
      </c>
    </row>
    <row r="209" spans="1:3" ht="21">
      <c r="A209" s="146" t="s">
        <v>892</v>
      </c>
      <c r="B209" s="144" t="s">
        <v>893</v>
      </c>
      <c r="C209" s="147" t="s">
        <v>894</v>
      </c>
    </row>
    <row r="210" spans="1:3" ht="21">
      <c r="A210" s="148" t="s">
        <v>895</v>
      </c>
      <c r="B210" s="145" t="s">
        <v>896</v>
      </c>
      <c r="C210" s="149" t="s">
        <v>897</v>
      </c>
    </row>
    <row r="211" spans="1:3" ht="21">
      <c r="A211" s="146" t="s">
        <v>898</v>
      </c>
      <c r="B211" s="144" t="s">
        <v>899</v>
      </c>
      <c r="C211" s="147" t="s">
        <v>900</v>
      </c>
    </row>
    <row r="212" spans="1:3" ht="21">
      <c r="A212" s="148" t="s">
        <v>901</v>
      </c>
      <c r="B212" s="145" t="s">
        <v>902</v>
      </c>
      <c r="C212" s="149" t="s">
        <v>903</v>
      </c>
    </row>
    <row r="213" spans="1:3" ht="21">
      <c r="A213" s="146" t="s">
        <v>904</v>
      </c>
      <c r="B213" s="144" t="s">
        <v>905</v>
      </c>
      <c r="C213" s="147" t="s">
        <v>906</v>
      </c>
    </row>
    <row r="214" spans="1:3" ht="21">
      <c r="A214" s="148" t="s">
        <v>907</v>
      </c>
      <c r="B214" s="145" t="s">
        <v>908</v>
      </c>
      <c r="C214" s="149" t="s">
        <v>909</v>
      </c>
    </row>
    <row r="215" spans="1:3" ht="21">
      <c r="A215" s="146" t="s">
        <v>910</v>
      </c>
      <c r="B215" s="144" t="s">
        <v>911</v>
      </c>
      <c r="C215" s="147" t="s">
        <v>912</v>
      </c>
    </row>
    <row r="216" spans="1:3" ht="21">
      <c r="A216" s="148" t="s">
        <v>913</v>
      </c>
      <c r="B216" s="145" t="s">
        <v>914</v>
      </c>
      <c r="C216" s="149" t="s">
        <v>915</v>
      </c>
    </row>
    <row r="217" spans="1:3" ht="21">
      <c r="A217" s="146" t="s">
        <v>916</v>
      </c>
      <c r="B217" s="144" t="s">
        <v>917</v>
      </c>
      <c r="C217" s="147" t="s">
        <v>918</v>
      </c>
    </row>
    <row r="218" spans="1:3" ht="21">
      <c r="A218" s="148" t="s">
        <v>919</v>
      </c>
      <c r="B218" s="145" t="s">
        <v>920</v>
      </c>
      <c r="C218" s="149" t="s">
        <v>921</v>
      </c>
    </row>
    <row r="219" spans="1:3" ht="21">
      <c r="A219" s="146" t="s">
        <v>922</v>
      </c>
      <c r="B219" s="144" t="s">
        <v>281</v>
      </c>
      <c r="C219" s="147" t="s">
        <v>923</v>
      </c>
    </row>
    <row r="220" spans="1:3" ht="21">
      <c r="A220" s="148" t="s">
        <v>924</v>
      </c>
      <c r="B220" s="145" t="s">
        <v>924</v>
      </c>
      <c r="C220" s="149" t="s">
        <v>925</v>
      </c>
    </row>
    <row r="221" spans="1:3" ht="21">
      <c r="A221" s="146" t="s">
        <v>926</v>
      </c>
      <c r="B221" s="144" t="s">
        <v>926</v>
      </c>
      <c r="C221" s="147" t="s">
        <v>927</v>
      </c>
    </row>
    <row r="222" spans="1:3" ht="21">
      <c r="A222" s="148" t="s">
        <v>928</v>
      </c>
      <c r="B222" s="145" t="s">
        <v>928</v>
      </c>
      <c r="C222" s="149" t="s">
        <v>929</v>
      </c>
    </row>
    <row r="223" spans="1:3" ht="33.75" customHeight="1">
      <c r="A223" s="146" t="s">
        <v>930</v>
      </c>
      <c r="B223" s="144" t="s">
        <v>930</v>
      </c>
      <c r="C223" s="147" t="s">
        <v>931</v>
      </c>
    </row>
    <row r="224" spans="1:3" ht="21">
      <c r="A224" s="148" t="s">
        <v>932</v>
      </c>
      <c r="B224" s="145" t="b">
        <v>1</v>
      </c>
      <c r="C224" s="149" t="s">
        <v>933</v>
      </c>
    </row>
    <row r="225" spans="1:3" ht="33" customHeight="1">
      <c r="A225" s="146" t="s">
        <v>934</v>
      </c>
      <c r="B225" s="144" t="s">
        <v>935</v>
      </c>
      <c r="C225" s="147" t="s">
        <v>936</v>
      </c>
    </row>
    <row r="226" spans="1:3" ht="25.5" customHeight="1">
      <c r="A226" s="148" t="s">
        <v>937</v>
      </c>
      <c r="B226" s="145" t="s">
        <v>938</v>
      </c>
      <c r="C226" s="149" t="s">
        <v>939</v>
      </c>
    </row>
    <row r="227" spans="1:3" ht="21">
      <c r="A227" s="146" t="s">
        <v>940</v>
      </c>
      <c r="B227" s="144" t="s">
        <v>940</v>
      </c>
      <c r="C227" s="147" t="s">
        <v>941</v>
      </c>
    </row>
    <row r="228" spans="1:3" ht="21">
      <c r="A228" s="148" t="s">
        <v>942</v>
      </c>
      <c r="B228" s="145" t="s">
        <v>943</v>
      </c>
      <c r="C228" s="149" t="s">
        <v>944</v>
      </c>
    </row>
    <row r="229" spans="1:3" ht="21.75" thickBot="1">
      <c r="A229" s="150" t="s">
        <v>945</v>
      </c>
      <c r="B229" s="151" t="s">
        <v>946</v>
      </c>
      <c r="C229" s="152" t="s">
        <v>947</v>
      </c>
    </row>
  </sheetData>
  <mergeCells count="7">
    <mergeCell ref="E24:E27"/>
    <mergeCell ref="F24:F27"/>
    <mergeCell ref="A1:C1"/>
    <mergeCell ref="E2:E4"/>
    <mergeCell ref="F2:F4"/>
    <mergeCell ref="E7:E9"/>
    <mergeCell ref="F7:F9"/>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SE</vt:lpstr>
      <vt:lpstr>VALIDAÇÃO DE DADOS E SEERRO</vt:lpstr>
      <vt:lpstr>MÉDIA PONDERADA</vt:lpstr>
      <vt:lpstr>MACRO</vt:lpstr>
      <vt:lpstr>IMC</vt:lpstr>
      <vt:lpstr>ARREDONDAR</vt:lpstr>
      <vt:lpstr>CONT.SE</vt:lpstr>
      <vt:lpstr>PROCV</vt:lpstr>
      <vt:lpstr>PROCH</vt:lpstr>
      <vt:lpstr>FÓRMULAS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Brience</dc:creator>
  <cp:lastModifiedBy>Kaike Anjos</cp:lastModifiedBy>
  <dcterms:created xsi:type="dcterms:W3CDTF">2021-06-25T17:18:06Z</dcterms:created>
  <dcterms:modified xsi:type="dcterms:W3CDTF">2024-01-11T17:08:58Z</dcterms:modified>
</cp:coreProperties>
</file>