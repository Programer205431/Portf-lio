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harts/colors1.xml" ContentType="application/vnd.ms-office.chartcolorstyl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1_{29F9B01D-DC56-4043-9A31-14B2DBAFE02E}" xr6:coauthVersionLast="36" xr6:coauthVersionMax="36" xr10:uidLastSave="{00000000-0000-0000-0000-000000000000}"/>
  <bookViews>
    <workbookView xWindow="0" yWindow="0" windowWidth="28800" windowHeight="12105" xr2:uid="{4E106B79-5C01-49B5-8BA6-8464161F4AF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F13" i="1" l="1"/>
  <c r="C13" i="1"/>
  <c r="C14" i="1"/>
  <c r="F12" i="1"/>
  <c r="F9" i="1"/>
  <c r="F8" i="1"/>
  <c r="F6" i="1"/>
</calcChain>
</file>

<file path=xl/sharedStrings.xml><?xml version="1.0" encoding="utf-8"?>
<sst xmlns="http://schemas.openxmlformats.org/spreadsheetml/2006/main" count="20" uniqueCount="20">
  <si>
    <t>A</t>
  </si>
  <si>
    <t>B</t>
  </si>
  <si>
    <t>C</t>
  </si>
  <si>
    <t>D</t>
  </si>
  <si>
    <t>E</t>
  </si>
  <si>
    <t>F</t>
  </si>
  <si>
    <t>G</t>
  </si>
  <si>
    <t>H</t>
  </si>
  <si>
    <t>I</t>
  </si>
  <si>
    <t>Soma</t>
  </si>
  <si>
    <t>Tempo de ciclo requerido:</t>
  </si>
  <si>
    <t>tempo</t>
  </si>
  <si>
    <t>Tarefa</t>
  </si>
  <si>
    <t>Trabalho</t>
  </si>
  <si>
    <t>Tempo Ocioso por Ciclo</t>
  </si>
  <si>
    <t>Proporção de tempo ocioso por ciclo</t>
  </si>
  <si>
    <t>Estágio</t>
  </si>
  <si>
    <t>Tempo</t>
  </si>
  <si>
    <t>N° de Estágios</t>
  </si>
  <si>
    <t>4 Estágios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</si>
</sst>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/>
    <xf numFmtId="0" fontId="0" fillId="0" borderId="4" xfId="0" applyBorder="1" applyAlignment="1"/>
    <xf numFmtId="0" fontId="0" fillId="0" borderId="6" xfId="0" applyBorder="1" applyAlignment="1">
      <alignment horizontal="center" vertical="center"/>
    </xf>
    <xf numFmtId="10" fontId="0" fillId="0" borderId="7" xfId="0" applyNumberFormat="1" applyBorder="1"/>
    <xf numFmtId="0" fontId="0" fillId="0" borderId="7" xfId="0" applyBorder="1"/>
    <xf numFmtId="0" fontId="0" fillId="0" borderId="5" xfId="0" applyBorder="1"/>
    <xf numFmtId="0" fontId="0" fillId="0" borderId="4" xfId="0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6" xfId="0" applyFill="1" applyBorder="1"/>
    <xf numFmtId="0" fontId="0" fillId="0" borderId="8" xfId="0" applyBorder="1"/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Tempo</a:t>
            </a:r>
            <a:r>
              <a:rPr lang="pt-BR" baseline="0"/>
              <a:t> de cada Estágio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Planilha1!$B$3:$B$11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Planilha1!$C$3:$C$11</c:f>
              <c:numCache>
                <c:formatCode>General</c:formatCode>
                <c:ptCount val="9"/>
                <c:pt idx="0">
                  <c:v>0.12</c:v>
                </c:pt>
                <c:pt idx="1">
                  <c:v>0.3</c:v>
                </c:pt>
                <c:pt idx="2">
                  <c:v>0.36</c:v>
                </c:pt>
                <c:pt idx="3">
                  <c:v>0.25</c:v>
                </c:pt>
                <c:pt idx="4">
                  <c:v>0.17</c:v>
                </c:pt>
                <c:pt idx="5">
                  <c:v>0.05</c:v>
                </c:pt>
                <c:pt idx="6">
                  <c:v>0.1</c:v>
                </c:pt>
                <c:pt idx="7">
                  <c:v>0.08</c:v>
                </c:pt>
                <c:pt idx="8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8-4368-9DB7-71076361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6397519"/>
        <c:axId val="1596651567"/>
      </c:barChart>
      <c:catAx>
        <c:axId val="160639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6651567"/>
        <c:crosses val="autoZero"/>
        <c:auto val="1"/>
        <c:lblAlgn val="ctr"/>
        <c:lblOffset val="100"/>
        <c:noMultiLvlLbl val="0"/>
      </c:catAx>
      <c:valAx>
        <c:axId val="159665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639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219075</xdr:colOff>
      <xdr:row>18</xdr:row>
      <xdr:rowOff>20365</xdr:rowOff>
    </xdr:from>
    <xdr:to>
      <xdr:col>18</xdr:col>
      <xdr:colOff>180975</xdr:colOff>
      <xdr:row>36</xdr:row>
      <xdr:rowOff>112982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9EEB39-DB24-43C8-AD0F-C013B65E1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2350" y="3468415"/>
          <a:ext cx="4838700" cy="3521617"/>
        </a:xfrm>
        <a:prstGeom prst="rect">
          <a:avLst/>
        </a:prstGeom>
      </xdr:spPr>
    </xdr:pic>
    <xdr:clientData/>
  </xdr:twoCellAnchor>
  <xdr:twoCellAnchor editAs="oneCell">
    <xdr:from>
      <xdr:col>10</xdr:col>
      <xdr:colOff>216675</xdr:colOff>
      <xdr:row>1</xdr:row>
      <xdr:rowOff>142875</xdr:rowOff>
    </xdr:from>
    <xdr:to>
      <xdr:col>25</xdr:col>
      <xdr:colOff>132214</xdr:colOff>
      <xdr:row>16</xdr:row>
      <xdr:rowOff>142875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31D2DE9-8C77-41FA-AA8A-7FF49BDBD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9950" y="342900"/>
          <a:ext cx="9059539" cy="2933700"/>
        </a:xfrm>
        <a:prstGeom prst="rect">
          <a:avLst/>
        </a:prstGeom>
      </xdr:spPr>
    </xdr:pic>
    <xdr:clientData/>
  </xdr:twoCellAnchor>
  <xdr:twoCellAnchor>
    <xdr:from>
      <xdr:col>10</xdr:col>
      <xdr:colOff>257176</xdr:colOff>
      <xdr:row>1</xdr:row>
      <xdr:rowOff>114299</xdr:rowOff>
    </xdr:from>
    <xdr:to>
      <xdr:col>14</xdr:col>
      <xdr:colOff>295276</xdr:colOff>
      <xdr:row>17</xdr:row>
      <xdr:rowOff>28574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C373B5B-AE0F-4566-B02B-2F521CEBF1A1}"/>
            </a:ext>
          </a:extLst>
        </xdr:cNvPr>
        <xdr:cNvSpPr/>
      </xdr:nvSpPr>
      <xdr:spPr>
        <a:xfrm>
          <a:off x="5829301" y="304799"/>
          <a:ext cx="2476500" cy="3152775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304800</xdr:colOff>
      <xdr:row>2</xdr:row>
      <xdr:rowOff>28575</xdr:rowOff>
    </xdr:from>
    <xdr:to>
      <xdr:col>13</xdr:col>
      <xdr:colOff>57150</xdr:colOff>
      <xdr:row>4</xdr:row>
      <xdr:rowOff>123825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11C30AAA-79F5-4231-BE45-076DF7450441}"/>
            </a:ext>
          </a:extLst>
        </xdr:cNvPr>
        <xdr:cNvSpPr txBox="1"/>
      </xdr:nvSpPr>
      <xdr:spPr>
        <a:xfrm>
          <a:off x="6486525" y="600075"/>
          <a:ext cx="97155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1° Estágio</a:t>
          </a:r>
        </a:p>
      </xdr:txBody>
    </xdr:sp>
    <xdr:clientData/>
  </xdr:twoCellAnchor>
  <xdr:twoCellAnchor>
    <xdr:from>
      <xdr:col>14</xdr:col>
      <xdr:colOff>361950</xdr:colOff>
      <xdr:row>1</xdr:row>
      <xdr:rowOff>114300</xdr:rowOff>
    </xdr:from>
    <xdr:to>
      <xdr:col>16</xdr:col>
      <xdr:colOff>361950</xdr:colOff>
      <xdr:row>17</xdr:row>
      <xdr:rowOff>28575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2DEE9106-AED0-491C-B214-DACCEB509B56}"/>
            </a:ext>
          </a:extLst>
        </xdr:cNvPr>
        <xdr:cNvSpPr/>
      </xdr:nvSpPr>
      <xdr:spPr>
        <a:xfrm>
          <a:off x="8372475" y="304800"/>
          <a:ext cx="1219200" cy="3152775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514349</xdr:colOff>
      <xdr:row>2</xdr:row>
      <xdr:rowOff>47624</xdr:rowOff>
    </xdr:from>
    <xdr:to>
      <xdr:col>16</xdr:col>
      <xdr:colOff>200024</xdr:colOff>
      <xdr:row>4</xdr:row>
      <xdr:rowOff>95249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BB9F818C-4184-436B-B521-9CA7AB2C6ED4}"/>
            </a:ext>
          </a:extLst>
        </xdr:cNvPr>
        <xdr:cNvSpPr txBox="1"/>
      </xdr:nvSpPr>
      <xdr:spPr>
        <a:xfrm>
          <a:off x="8524874" y="619124"/>
          <a:ext cx="904875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/>
            <a:t>2° Estágio</a:t>
          </a:r>
        </a:p>
      </xdr:txBody>
    </xdr:sp>
    <xdr:clientData/>
  </xdr:twoCellAnchor>
  <xdr:twoCellAnchor>
    <xdr:from>
      <xdr:col>16</xdr:col>
      <xdr:colOff>390525</xdr:colOff>
      <xdr:row>1</xdr:row>
      <xdr:rowOff>114300</xdr:rowOff>
    </xdr:from>
    <xdr:to>
      <xdr:col>20</xdr:col>
      <xdr:colOff>285750</xdr:colOff>
      <xdr:row>17</xdr:row>
      <xdr:rowOff>28575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2DA72043-106C-48CF-ADF3-179DF5A92E9B}"/>
            </a:ext>
          </a:extLst>
        </xdr:cNvPr>
        <xdr:cNvSpPr/>
      </xdr:nvSpPr>
      <xdr:spPr>
        <a:xfrm>
          <a:off x="9620250" y="304800"/>
          <a:ext cx="2333625" cy="3152775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371475</xdr:colOff>
      <xdr:row>13</xdr:row>
      <xdr:rowOff>76200</xdr:rowOff>
    </xdr:from>
    <xdr:to>
      <xdr:col>19</xdr:col>
      <xdr:colOff>390525</xdr:colOff>
      <xdr:row>15</xdr:row>
      <xdr:rowOff>104775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CD1BE161-09E8-40E8-8BEB-A318693C9F94}"/>
            </a:ext>
          </a:extLst>
        </xdr:cNvPr>
        <xdr:cNvSpPr txBox="1"/>
      </xdr:nvSpPr>
      <xdr:spPr>
        <a:xfrm>
          <a:off x="10210800" y="2743200"/>
          <a:ext cx="1238250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/>
            <a:t>3° Estágio</a:t>
          </a:r>
        </a:p>
      </xdr:txBody>
    </xdr:sp>
    <xdr:clientData/>
  </xdr:twoCellAnchor>
  <xdr:twoCellAnchor>
    <xdr:from>
      <xdr:col>20</xdr:col>
      <xdr:colOff>304800</xdr:colOff>
      <xdr:row>1</xdr:row>
      <xdr:rowOff>114300</xdr:rowOff>
    </xdr:from>
    <xdr:to>
      <xdr:col>25</xdr:col>
      <xdr:colOff>85725</xdr:colOff>
      <xdr:row>17</xdr:row>
      <xdr:rowOff>28575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F316842C-AFB6-42F2-96E3-38FC1CA77016}"/>
            </a:ext>
          </a:extLst>
        </xdr:cNvPr>
        <xdr:cNvSpPr/>
      </xdr:nvSpPr>
      <xdr:spPr>
        <a:xfrm>
          <a:off x="11972925" y="304800"/>
          <a:ext cx="2828925" cy="3152775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523875</xdr:colOff>
      <xdr:row>2</xdr:row>
      <xdr:rowOff>0</xdr:rowOff>
    </xdr:from>
    <xdr:to>
      <xdr:col>23</xdr:col>
      <xdr:colOff>542925</xdr:colOff>
      <xdr:row>3</xdr:row>
      <xdr:rowOff>171450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C34161B1-DBF3-4E73-9032-E44855F33613}"/>
            </a:ext>
          </a:extLst>
        </xdr:cNvPr>
        <xdr:cNvSpPr txBox="1"/>
      </xdr:nvSpPr>
      <xdr:spPr>
        <a:xfrm>
          <a:off x="12801600" y="523875"/>
          <a:ext cx="1238250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/>
            <a:t>4° Estágio</a:t>
          </a:r>
        </a:p>
      </xdr:txBody>
    </xdr:sp>
    <xdr:clientData/>
  </xdr:twoCellAnchor>
  <xdr:twoCellAnchor>
    <xdr:from>
      <xdr:col>0</xdr:col>
      <xdr:colOff>419100</xdr:colOff>
      <xdr:row>17</xdr:row>
      <xdr:rowOff>14287</xdr:rowOff>
    </xdr:from>
    <xdr:to>
      <xdr:col>5</xdr:col>
      <xdr:colOff>266700</xdr:colOff>
      <xdr:row>31</xdr:row>
      <xdr:rowOff>90487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54EA69E-A50B-43BE-A78C-3A15751C9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874E-FE77-4D5D-96DA-33556F7FA9C6}">
  <dimension ref="B1:I17"/>
  <sheetViews>
    <sheetView showGridLines="0" tabSelected="1" workbookViewId="0">
      <selection activeCell="D14" sqref="D14"/>
    </sheetView>
  </sheetViews>
  <sheetFormatPr defaultRowHeight="15" x14ac:dyDescent="0.25"/>
  <cols>
    <col min="2" max="2" width="13.5703125" bestFit="1" customWidth="1"/>
    <col min="3" max="3" width="8.7109375" bestFit="1" customWidth="1"/>
    <col min="4" max="4" width="8.7109375" customWidth="1"/>
    <col min="5" max="5" width="33.85546875" bestFit="1" customWidth="1"/>
  </cols>
  <sheetData>
    <row r="1" spans="2:8" ht="15.75" thickBot="1" x14ac:dyDescent="0.3">
      <c r="B1" s="2"/>
      <c r="C1" s="2"/>
      <c r="D1" s="2"/>
    </row>
    <row r="2" spans="2:8" ht="15.75" thickBot="1" x14ac:dyDescent="0.3">
      <c r="B2" s="5" t="s">
        <v>12</v>
      </c>
      <c r="C2" s="5" t="s">
        <v>13</v>
      </c>
      <c r="D2" s="6"/>
      <c r="E2" s="8" t="s">
        <v>10</v>
      </c>
      <c r="F2" s="15">
        <v>0.48</v>
      </c>
      <c r="G2" s="15"/>
      <c r="H2" s="15"/>
    </row>
    <row r="3" spans="2:8" x14ac:dyDescent="0.25">
      <c r="B3" s="4" t="s">
        <v>0</v>
      </c>
      <c r="C3" s="4">
        <v>0.12</v>
      </c>
      <c r="D3" s="6"/>
    </row>
    <row r="4" spans="2:8" ht="15.75" thickBot="1" x14ac:dyDescent="0.3">
      <c r="B4" s="3" t="s">
        <v>1</v>
      </c>
      <c r="C4" s="3">
        <v>0.3</v>
      </c>
      <c r="D4" s="6"/>
    </row>
    <row r="5" spans="2:8" x14ac:dyDescent="0.25">
      <c r="B5" s="3" t="s">
        <v>2</v>
      </c>
      <c r="C5" s="3">
        <v>0.36</v>
      </c>
      <c r="D5" s="6"/>
      <c r="E5" s="9" t="s">
        <v>16</v>
      </c>
      <c r="F5" s="12" t="s">
        <v>17</v>
      </c>
    </row>
    <row r="6" spans="2:8" x14ac:dyDescent="0.25">
      <c r="B6" s="3" t="s">
        <v>3</v>
      </c>
      <c r="C6" s="3">
        <v>0.25</v>
      </c>
      <c r="D6" s="6"/>
      <c r="E6" s="3">
        <v>1</v>
      </c>
      <c r="F6" s="1">
        <f>SUM(C3+C4)</f>
        <v>0.42</v>
      </c>
    </row>
    <row r="7" spans="2:8" x14ac:dyDescent="0.25">
      <c r="B7" s="3" t="s">
        <v>4</v>
      </c>
      <c r="C7" s="3">
        <v>0.17</v>
      </c>
      <c r="D7" s="6"/>
      <c r="E7" s="3">
        <v>2</v>
      </c>
      <c r="F7" s="1">
        <v>0.36</v>
      </c>
    </row>
    <row r="8" spans="2:8" x14ac:dyDescent="0.25">
      <c r="B8" s="3" t="s">
        <v>5</v>
      </c>
      <c r="C8" s="3">
        <v>0.05</v>
      </c>
      <c r="D8" s="6"/>
      <c r="E8" s="3">
        <v>3</v>
      </c>
      <c r="F8" s="1">
        <f>SUM(C6+C7+C8)</f>
        <v>0.47000000000000003</v>
      </c>
    </row>
    <row r="9" spans="2:8" x14ac:dyDescent="0.25">
      <c r="B9" s="3" t="s">
        <v>6</v>
      </c>
      <c r="C9" s="3">
        <v>0.1</v>
      </c>
      <c r="D9" s="6"/>
      <c r="E9" s="3">
        <v>4</v>
      </c>
      <c r="F9" s="1">
        <f>SUM(C9+C10+C11)</f>
        <v>0.43</v>
      </c>
    </row>
    <row r="10" spans="2:8" x14ac:dyDescent="0.25">
      <c r="B10" s="3" t="s">
        <v>7</v>
      </c>
      <c r="C10" s="3">
        <v>0.08</v>
      </c>
      <c r="D10" s="6"/>
    </row>
    <row r="11" spans="2:8" ht="15.75" thickBot="1" x14ac:dyDescent="0.3">
      <c r="B11" s="3" t="s">
        <v>8</v>
      </c>
      <c r="C11" s="3">
        <v>0.25</v>
      </c>
      <c r="D11" s="6"/>
    </row>
    <row r="12" spans="2:8" ht="15.75" thickBot="1" x14ac:dyDescent="0.3">
      <c r="E12" s="7" t="s">
        <v>14</v>
      </c>
      <c r="F12" s="11">
        <f>(F2-F7)+ (F2-F8)+ (F2-F9)+ (F2-F6)</f>
        <v>0.23999999999999994</v>
      </c>
    </row>
    <row r="13" spans="2:8" ht="15.75" thickBot="1" x14ac:dyDescent="0.3">
      <c r="B13" s="13" t="s">
        <v>9</v>
      </c>
      <c r="C13" s="1">
        <f>SUM(C3:C11)</f>
        <v>1.6800000000000002</v>
      </c>
      <c r="E13" s="7" t="s">
        <v>15</v>
      </c>
      <c r="F13" s="10">
        <f>F12/(4*F2)</f>
        <v>0.12499999999999997</v>
      </c>
    </row>
    <row r="14" spans="2:8" ht="15.75" thickBot="1" x14ac:dyDescent="0.3">
      <c r="B14" s="16" t="s">
        <v>11</v>
      </c>
      <c r="C14" s="1">
        <f>40*60/5000</f>
        <v>0.48</v>
      </c>
      <c r="D14" s="14"/>
    </row>
    <row r="15" spans="2:8" ht="15.75" thickBot="1" x14ac:dyDescent="0.3">
      <c r="B15" s="17" t="s">
        <v>18</v>
      </c>
      <c r="C15" s="18">
        <f>C13/C14</f>
        <v>3.5000000000000004</v>
      </c>
    </row>
    <row r="16" spans="2:8" ht="15.75" thickBot="1" x14ac:dyDescent="0.3">
      <c r="B16" s="19" t="s">
        <v>19</v>
      </c>
      <c r="C16" s="20"/>
    </row>
    <row r="17" spans="9:9" x14ac:dyDescent="0.25">
      <c r="I17" s="14"/>
    </row>
  </sheetData>
  <mergeCells count="2">
    <mergeCell ref="F2:H2"/>
    <mergeCell ref="B16:C1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C2EA3CB404D94995DAA59333398C04" ma:contentTypeVersion="5" ma:contentTypeDescription="Crie um novo documento." ma:contentTypeScope="" ma:versionID="dfaa2a759efe62d9b62831bd43a6dbbc">
  <xsd:schema xmlns:xsd="http://www.w3.org/2001/XMLSchema" xmlns:xs="http://www.w3.org/2001/XMLSchema" xmlns:p="http://schemas.microsoft.com/office/2006/metadata/properties" xmlns:ns2="c7fbedf1-3b9b-4aca-aa3a-51cb55d9c82f" targetNamespace="http://schemas.microsoft.com/office/2006/metadata/properties" ma:root="true" ma:fieldsID="46fa3648b0c3cd58c949ab0df61e9130" ns2:_="">
    <xsd:import namespace="c7fbedf1-3b9b-4aca-aa3a-51cb55d9c82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bedf1-3b9b-4aca-aa3a-51cb55d9c82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7fbedf1-3b9b-4aca-aa3a-51cb55d9c82f" xsi:nil="true"/>
  </documentManagement>
</p:properties>
</file>

<file path=customXml/itemProps1.xml><?xml version="1.0" encoding="utf-8"?>
<ds:datastoreItem xmlns:ds="http://schemas.openxmlformats.org/officeDocument/2006/customXml" ds:itemID="{C7EFBE85-CCE0-4C14-88B8-AEA203AEC279}"/>
</file>

<file path=customXml/itemProps2.xml><?xml version="1.0" encoding="utf-8"?>
<ds:datastoreItem xmlns:ds="http://schemas.openxmlformats.org/officeDocument/2006/customXml" ds:itemID="{2F11AC77-3C14-4008-BF6B-82628A9E6D6F}"/>
</file>

<file path=customXml/itemProps3.xml><?xml version="1.0" encoding="utf-8"?>
<ds:datastoreItem xmlns:ds="http://schemas.openxmlformats.org/officeDocument/2006/customXml" ds:itemID="{78633618-01BD-4970-8687-6C89530A6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2025-03-18T12:25:28Z</dcterms:created>
  <dcterms:modified xsi:type="dcterms:W3CDTF">2025-03-18T13:14:24Z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0x0101004EC2EA3CB404D94995DAA59333398C04</vt:lpwstr>
  </property>
</Properties>
</file>