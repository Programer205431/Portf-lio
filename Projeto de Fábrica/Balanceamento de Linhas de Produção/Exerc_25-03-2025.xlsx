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style2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style1.xml" ContentType="application/vnd.ms-office.chartstyle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73940C28-96C8-4FE6-94F1-82D8EF49A0F2}" xr6:coauthVersionLast="36" xr6:coauthVersionMax="36" xr10:uidLastSave="{00000000-0000-0000-0000-000000000000}"/>
  <bookViews>
    <workbookView xWindow="0" yWindow="0" windowWidth="28800" windowHeight="12105" xr2:uid="{7AD0276D-876E-44E0-B2DA-F850BAD484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L6" i="1"/>
  <c r="L5" i="1"/>
  <c r="L4" i="1"/>
  <c r="L3" i="1"/>
  <c r="B11" i="1"/>
  <c r="H3" i="1"/>
  <c r="H7" i="1" l="1"/>
  <c r="H4" i="1"/>
</calcChain>
</file>

<file path=xl/sharedStrings.xml><?xml version="1.0" encoding="utf-8"?>
<sst xmlns="http://schemas.openxmlformats.org/spreadsheetml/2006/main" count="23" uniqueCount="20">
  <si>
    <t>Demanda</t>
  </si>
  <si>
    <t>Atividades</t>
  </si>
  <si>
    <t>Tempo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</si>
  <si>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</si>
  <si>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</si>
  <si>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</si>
  <si>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</si>
  <si>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</si>
  <si>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</si>
  <si>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</si>
  <si>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</si>
  <si>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</si>
  <si>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Tempo Total</t>
  </si>
  <si>
    <t>N de estágios</t>
  </si>
  <si>
    <t>Min</t>
  </si>
  <si>
    <t>N de estágios arredondado</t>
  </si>
  <si>
    <t>Proporção de tempo Ocioso</t>
  </si>
  <si>
    <t>Estágio</t>
  </si>
  <si>
    <t>Tempo ocioso</t>
  </si>
  <si>
    <t>Tempo de ciclo recorrido (Takt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</si>
</sst>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2" borderId="0" xfId="0" applyFill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0" fontId="0" fillId="0" borderId="4" xfId="1" applyNumberFormat="1" applyFont="1" applyBorder="1"/>
    <xf numFmtId="0" fontId="0" fillId="0" borderId="8" xfId="0" applyBorder="1"/>
    <xf numFmtId="0" fontId="2" fillId="2" borderId="3" xfId="0" applyFont="1" applyFill="1" applyBorder="1"/>
  </cellXfs>
  <cellStyles count="2">
    <cellStyle name="Normal" xfId="0" builtinId="0"/>
    <cellStyle name="Porcentagem" xfId="1" builtinId="5"/>
  </cellStyles>
  <dxfs count="5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de cada Estágio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Planilha1!$K$2</c:f>
              <c:strCache>
                <c:ptCount val="1"/>
                <c:pt idx="0">
                  <c:v>Estágio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Planilha1!$K$3:$K$6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4-4E5D-8B7F-A3710E265670}"/>
            </c:ext>
          </c:extLst>
        </c:ser>
        <c:ser>
          <c:idx val="1"/>
          <c:order val="1"/>
          <c:tx>
            <c:strRef>
              <c:f>Planilha1!$L$2</c:f>
              <c:strCache>
                <c:ptCount val="1"/>
                <c:pt idx="0">
                  <c:v>Tempo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Planilha1!$L$3:$L$6</c:f>
              <c:numCache>
                <c:formatCode>General</c:formatCode>
                <c:ptCount val="4"/>
                <c:pt idx="0">
                  <c:v>13.75</c:v>
                </c:pt>
                <c:pt idx="1">
                  <c:v>12.25</c:v>
                </c:pt>
                <c:pt idx="2">
                  <c:v>14.929999999999998</c:v>
                </c:pt>
                <c:pt idx="3">
                  <c:v>14.07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4-4E5D-8B7F-A3710E265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de cada Atividade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Planilha1!$B$1</c:f>
              <c:strCache>
                <c:ptCount val="1"/>
                <c:pt idx="0">
                  <c:v>Tempo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Planilha1!$B$2:$B$10</c:f>
              <c:numCache>
                <c:formatCode>General</c:formatCode>
                <c:ptCount val="9"/>
                <c:pt idx="0">
                  <c:v>3.93</c:v>
                </c:pt>
                <c:pt idx="1">
                  <c:v>9.82</c:v>
                </c:pt>
                <c:pt idx="2">
                  <c:v>12.25</c:v>
                </c:pt>
                <c:pt idx="3">
                  <c:v>8.18</c:v>
                </c:pt>
                <c:pt idx="4">
                  <c:v>5.56</c:v>
                </c:pt>
                <c:pt idx="5">
                  <c:v>1.19</c:v>
                </c:pt>
                <c:pt idx="6">
                  <c:v>3.27</c:v>
                </c:pt>
                <c:pt idx="7">
                  <c:v>2.62</c:v>
                </c:pt>
                <c:pt idx="8">
                  <c:v>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3-4187-8864-3B7A2219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7</xdr:row>
      <xdr:rowOff>123825</xdr:rowOff>
    </xdr:from>
    <xdr:to>
      <xdr:col>10</xdr:col>
      <xdr:colOff>600972</xdr:colOff>
      <xdr:row>22</xdr:row>
      <xdr:rowOff>9908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AFD421-9FE7-45DF-BE90-5B489D081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57325"/>
          <a:ext cx="6430272" cy="2743583"/>
        </a:xfrm>
        <a:prstGeom prst="rect">
          <a:avLst/>
        </a:prstGeom>
      </xdr:spPr>
    </xdr:pic>
    <xdr:clientData/>
  </xdr:twoCellAnchor>
  <xdr:twoCellAnchor>
    <xdr:from>
      <xdr:col>3</xdr:col>
      <xdr:colOff>219075</xdr:colOff>
      <xdr:row>8</xdr:row>
      <xdr:rowOff>114301</xdr:rowOff>
    </xdr:from>
    <xdr:to>
      <xdr:col>6</xdr:col>
      <xdr:colOff>114300</xdr:colOff>
      <xdr:row>22</xdr:row>
      <xdr:rowOff>19051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6F23293-F430-4F41-A5B8-FE472415D825}"/>
            </a:ext>
          </a:extLst>
        </xdr:cNvPr>
        <xdr:cNvSpPr/>
      </xdr:nvSpPr>
      <xdr:spPr>
        <a:xfrm>
          <a:off x="3143250" y="1638301"/>
          <a:ext cx="1724025" cy="257175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123825</xdr:colOff>
      <xdr:row>8</xdr:row>
      <xdr:rowOff>114300</xdr:rowOff>
    </xdr:from>
    <xdr:to>
      <xdr:col>6</xdr:col>
      <xdr:colOff>971550</xdr:colOff>
      <xdr:row>22</xdr:row>
      <xdr:rowOff>19049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0168C3A-8CC4-49DA-BAAD-8F1E75324014}"/>
            </a:ext>
          </a:extLst>
        </xdr:cNvPr>
        <xdr:cNvSpPr/>
      </xdr:nvSpPr>
      <xdr:spPr>
        <a:xfrm>
          <a:off x="4876800" y="1638300"/>
          <a:ext cx="847725" cy="2571749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971550</xdr:colOff>
      <xdr:row>8</xdr:row>
      <xdr:rowOff>114300</xdr:rowOff>
    </xdr:from>
    <xdr:to>
      <xdr:col>7</xdr:col>
      <xdr:colOff>371475</xdr:colOff>
      <xdr:row>22</xdr:row>
      <xdr:rowOff>19051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C7DF6A0-96F2-4B7F-8414-57CE02DCC6DA}"/>
            </a:ext>
          </a:extLst>
        </xdr:cNvPr>
        <xdr:cNvSpPr/>
      </xdr:nvSpPr>
      <xdr:spPr>
        <a:xfrm>
          <a:off x="5724525" y="1638300"/>
          <a:ext cx="1724025" cy="2571751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390525</xdr:colOff>
      <xdr:row>8</xdr:row>
      <xdr:rowOff>114300</xdr:rowOff>
    </xdr:from>
    <xdr:to>
      <xdr:col>11</xdr:col>
      <xdr:colOff>323850</xdr:colOff>
      <xdr:row>22</xdr:row>
      <xdr:rowOff>19050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99B1846-7004-412F-A504-A0BE31637A7D}"/>
            </a:ext>
          </a:extLst>
        </xdr:cNvPr>
        <xdr:cNvSpPr/>
      </xdr:nvSpPr>
      <xdr:spPr>
        <a:xfrm>
          <a:off x="7467600" y="1638300"/>
          <a:ext cx="1762125" cy="257175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95250</xdr:colOff>
      <xdr:row>8</xdr:row>
      <xdr:rowOff>171451</xdr:rowOff>
    </xdr:from>
    <xdr:to>
      <xdr:col>11</xdr:col>
      <xdr:colOff>266699</xdr:colOff>
      <xdr:row>10</xdr:row>
      <xdr:rowOff>57151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AD14FFE-A8A5-43B1-AAFA-893E1CDE2621}"/>
            </a:ext>
          </a:extLst>
        </xdr:cNvPr>
        <xdr:cNvSpPr txBox="1"/>
      </xdr:nvSpPr>
      <xdr:spPr>
        <a:xfrm>
          <a:off x="8391525" y="1695451"/>
          <a:ext cx="781049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4° Estágio</a:t>
          </a:r>
        </a:p>
        <a:p>
          <a:endParaRPr lang="pt-BR" sz="1100" b="1"/>
        </a:p>
      </xdr:txBody>
    </xdr:sp>
    <xdr:clientData/>
  </xdr:twoCellAnchor>
  <xdr:twoCellAnchor>
    <xdr:from>
      <xdr:col>6</xdr:col>
      <xdr:colOff>1152525</xdr:colOff>
      <xdr:row>9</xdr:row>
      <xdr:rowOff>66676</xdr:rowOff>
    </xdr:from>
    <xdr:to>
      <xdr:col>6</xdr:col>
      <xdr:colOff>1933574</xdr:colOff>
      <xdr:row>10</xdr:row>
      <xdr:rowOff>142876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E09C7E2-3AC0-4534-87F9-8CEF444109E8}"/>
            </a:ext>
          </a:extLst>
        </xdr:cNvPr>
        <xdr:cNvSpPr txBox="1"/>
      </xdr:nvSpPr>
      <xdr:spPr>
        <a:xfrm>
          <a:off x="5905500" y="1781176"/>
          <a:ext cx="781049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3° Estágio</a:t>
          </a:r>
        </a:p>
        <a:p>
          <a:endParaRPr lang="pt-BR" sz="1100" b="1"/>
        </a:p>
      </xdr:txBody>
    </xdr:sp>
    <xdr:clientData/>
  </xdr:twoCellAnchor>
  <xdr:twoCellAnchor>
    <xdr:from>
      <xdr:col>6</xdr:col>
      <xdr:colOff>152400</xdr:colOff>
      <xdr:row>9</xdr:row>
      <xdr:rowOff>66676</xdr:rowOff>
    </xdr:from>
    <xdr:to>
      <xdr:col>6</xdr:col>
      <xdr:colOff>933449</xdr:colOff>
      <xdr:row>10</xdr:row>
      <xdr:rowOff>142876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49770E4-11F9-4928-8582-30BB090D26AB}"/>
            </a:ext>
          </a:extLst>
        </xdr:cNvPr>
        <xdr:cNvSpPr txBox="1"/>
      </xdr:nvSpPr>
      <xdr:spPr>
        <a:xfrm>
          <a:off x="4905375" y="1781176"/>
          <a:ext cx="781049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2° Estágio</a:t>
          </a:r>
        </a:p>
        <a:p>
          <a:endParaRPr lang="pt-BR" sz="1100" b="1"/>
        </a:p>
      </xdr:txBody>
    </xdr:sp>
    <xdr:clientData/>
  </xdr:twoCellAnchor>
  <xdr:twoCellAnchor>
    <xdr:from>
      <xdr:col>4</xdr:col>
      <xdr:colOff>76200</xdr:colOff>
      <xdr:row>10</xdr:row>
      <xdr:rowOff>9526</xdr:rowOff>
    </xdr:from>
    <xdr:to>
      <xdr:col>5</xdr:col>
      <xdr:colOff>247649</xdr:colOff>
      <xdr:row>11</xdr:row>
      <xdr:rowOff>85726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F32A517B-301A-4170-BF55-C9836BFE948B}"/>
            </a:ext>
          </a:extLst>
        </xdr:cNvPr>
        <xdr:cNvSpPr txBox="1"/>
      </xdr:nvSpPr>
      <xdr:spPr>
        <a:xfrm>
          <a:off x="3609975" y="1914526"/>
          <a:ext cx="781049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1° Estágio</a:t>
          </a:r>
        </a:p>
        <a:p>
          <a:endParaRPr lang="pt-BR" sz="1100" b="1"/>
        </a:p>
      </xdr:txBody>
    </xdr:sp>
    <xdr:clientData/>
  </xdr:twoCellAnchor>
  <xdr:twoCellAnchor>
    <xdr:from>
      <xdr:col>0</xdr:col>
      <xdr:colOff>142875</xdr:colOff>
      <xdr:row>22</xdr:row>
      <xdr:rowOff>157162</xdr:rowOff>
    </xdr:from>
    <xdr:to>
      <xdr:col>6</xdr:col>
      <xdr:colOff>485775</xdr:colOff>
      <xdr:row>37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DCBEC8-EDA0-43B4-8860-9768EF9ED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695325</xdr:colOff>
      <xdr:row>22</xdr:row>
      <xdr:rowOff>166687</xdr:rowOff>
    </xdr:from>
    <xdr:to>
      <xdr:col>11</xdr:col>
      <xdr:colOff>485775</xdr:colOff>
      <xdr:row>37</xdr:row>
      <xdr:rowOff>52387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D92504A-908C-47CD-AA1D-996C60C2A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52749-462E-4B6C-9A52-C1A01DB35D36}" name="Tabela2" displayName="Tabela2" ref="A1:B11" totalsRowShown="0" headerRowDxfId="4" dataDxfId="3">
  <autoFilter ref="A1:B11" xr:uid="{885CF929-B6B7-43E3-B417-67295B5DC0F3}"/>
  <tableColumns count="2">
    <tableColumn id="1" xr3:uid="{72F986C1-5139-40F9-A49E-46C3273D2B9E}" name="Atividades" dataDxfId="2"/>
    <tableColumn id="2" xr3:uid="{B9A489A2-8D3D-4A86-95CC-C3332E214380}" name="Temp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C715AA-B24C-4258-97BC-1B2C9F20AFD7}" name="Tabela5" displayName="Tabela5" ref="K2:L6" totalsRowShown="0" headerRowDxfId="0">
  <autoFilter ref="K2:L6" xr:uid="{A58C08C6-9FA2-415B-90FE-F5AB9D2C67B1}"/>
  <tableColumns count="2">
    <tableColumn id="1" xr3:uid="{F98159EF-621C-4DCF-8A53-688950E3E39E}" name="Estágio"/>
    <tableColumn id="2" xr3:uid="{021FFADD-05D4-4CDB-95A5-7288E8B77291}" name="Tem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E0D4-127C-4326-8FCC-295CBCCF4968}">
  <dimension ref="A1:L11"/>
  <sheetViews>
    <sheetView showGridLines="0" tabSelected="1" zoomScaleNormal="100" workbookViewId="0">
      <selection activeCell="N19" sqref="N19"/>
    </sheetView>
  </sheetViews>
  <sheetFormatPr defaultRowHeight="15" x14ac:dyDescent="0.25"/>
  <cols>
    <col min="1" max="1" width="15.140625" customWidth="1"/>
    <col min="2" max="2" width="11.7109375" customWidth="1"/>
    <col min="7" max="7" width="34.85546875" bestFit="1" customWidth="1"/>
    <col min="11" max="11" width="9.42578125" customWidth="1"/>
    <col min="12" max="12" width="9.28515625" customWidth="1"/>
  </cols>
  <sheetData>
    <row r="1" spans="1:12" x14ac:dyDescent="0.25">
      <c r="A1" s="8" t="s">
        <v>1</v>
      </c>
      <c r="B1" s="8" t="s">
        <v>2</v>
      </c>
    </row>
    <row r="2" spans="1:12" x14ac:dyDescent="0.25">
      <c r="A2" s="1" t="s">
        <v>3</v>
      </c>
      <c r="B2" s="1">
        <v>3.93</v>
      </c>
      <c r="G2" s="14" t="s">
        <v>0</v>
      </c>
      <c r="H2" s="9">
        <v>160</v>
      </c>
      <c r="K2" s="3" t="s">
        <v>17</v>
      </c>
      <c r="L2" s="3" t="s">
        <v>2</v>
      </c>
    </row>
    <row r="3" spans="1:12" x14ac:dyDescent="0.25">
      <c r="A3" s="1" t="s">
        <v>4</v>
      </c>
      <c r="B3" s="1">
        <v>9.82</v>
      </c>
      <c r="G3" s="14" t="s">
        <v>19</v>
      </c>
      <c r="H3" s="10">
        <f>40*60/160</f>
        <v>15</v>
      </c>
      <c r="I3" s="7" t="s">
        <v>14</v>
      </c>
      <c r="J3" s="4"/>
      <c r="K3">
        <v>1</v>
      </c>
      <c r="L3">
        <f>SUM(B2:B3)</f>
        <v>13.75</v>
      </c>
    </row>
    <row r="4" spans="1:12" x14ac:dyDescent="0.25">
      <c r="A4" s="1" t="s">
        <v>5</v>
      </c>
      <c r="B4" s="1">
        <v>12.25</v>
      </c>
      <c r="G4" s="14" t="s">
        <v>13</v>
      </c>
      <c r="H4" s="11">
        <f>B11/H3</f>
        <v>3.6666666666666665</v>
      </c>
      <c r="K4">
        <v>2</v>
      </c>
      <c r="L4">
        <f>Tabela2[[#This Row],[Tempo]]</f>
        <v>12.25</v>
      </c>
    </row>
    <row r="5" spans="1:12" x14ac:dyDescent="0.25">
      <c r="A5" s="1" t="s">
        <v>6</v>
      </c>
      <c r="B5" s="1">
        <v>8.18</v>
      </c>
      <c r="G5" s="14" t="s">
        <v>15</v>
      </c>
      <c r="H5" s="7">
        <v>4</v>
      </c>
      <c r="K5">
        <v>3</v>
      </c>
      <c r="L5">
        <f>SUM(B5:B7)</f>
        <v>14.929999999999998</v>
      </c>
    </row>
    <row r="6" spans="1:12" x14ac:dyDescent="0.25">
      <c r="A6" s="1" t="s">
        <v>7</v>
      </c>
      <c r="B6" s="1">
        <v>5.56</v>
      </c>
      <c r="G6" s="14" t="s">
        <v>16</v>
      </c>
      <c r="H6" s="12">
        <f>5/(15*4)</f>
        <v>8.3333333333333329E-2</v>
      </c>
      <c r="K6">
        <v>4</v>
      </c>
      <c r="L6">
        <f>SUM(B8:B10)</f>
        <v>14.07</v>
      </c>
    </row>
    <row r="7" spans="1:12" x14ac:dyDescent="0.25">
      <c r="A7" s="1" t="s">
        <v>8</v>
      </c>
      <c r="B7" s="1">
        <v>1.19</v>
      </c>
      <c r="G7" s="14" t="s">
        <v>18</v>
      </c>
      <c r="H7" s="13">
        <f>(H3-L3)+(H3-L4)+(H3-L5)+(H3-L6)</f>
        <v>5.0000000000000018</v>
      </c>
      <c r="I7" s="7" t="s">
        <v>14</v>
      </c>
      <c r="J7" s="4"/>
    </row>
    <row r="8" spans="1:12" x14ac:dyDescent="0.25">
      <c r="A8" s="1" t="s">
        <v>9</v>
      </c>
      <c r="B8" s="1">
        <v>3.27</v>
      </c>
    </row>
    <row r="9" spans="1:12" x14ac:dyDescent="0.25">
      <c r="A9" s="1" t="s">
        <v>10</v>
      </c>
      <c r="B9" s="1">
        <v>2.62</v>
      </c>
    </row>
    <row r="10" spans="1:12" x14ac:dyDescent="0.25">
      <c r="A10" s="1" t="s">
        <v>11</v>
      </c>
      <c r="B10" s="1">
        <v>8.18</v>
      </c>
    </row>
    <row r="11" spans="1:12" x14ac:dyDescent="0.25">
      <c r="A11" s="2" t="s">
        <v>12</v>
      </c>
      <c r="B11" s="5">
        <f>SUM(B2:B10)</f>
        <v>55</v>
      </c>
      <c r="C11" s="6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C2EA3CB404D94995DAA59333398C04" ma:contentTypeVersion="5" ma:contentTypeDescription="Crie um novo documento." ma:contentTypeScope="" ma:versionID="dfaa2a759efe62d9b62831bd43a6dbbc">
  <xsd:schema xmlns:xsd="http://www.w3.org/2001/XMLSchema" xmlns:xs="http://www.w3.org/2001/XMLSchema" xmlns:p="http://schemas.microsoft.com/office/2006/metadata/properties" xmlns:ns2="c7fbedf1-3b9b-4aca-aa3a-51cb55d9c82f" targetNamespace="http://schemas.microsoft.com/office/2006/metadata/properties" ma:root="true" ma:fieldsID="46fa3648b0c3cd58c949ab0df61e9130" ns2:_="">
    <xsd:import namespace="c7fbedf1-3b9b-4aca-aa3a-51cb55d9c82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edf1-3b9b-4aca-aa3a-51cb55d9c82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fbedf1-3b9b-4aca-aa3a-51cb55d9c82f" xsi:nil="true"/>
  </documentManagement>
</p:properties>
</file>

<file path=customXml/itemProps1.xml><?xml version="1.0" encoding="utf-8"?>
<ds:datastoreItem xmlns:ds="http://schemas.openxmlformats.org/officeDocument/2006/customXml" ds:itemID="{35DD9ADB-9C5E-432C-8D8E-BDA48FC235C2}"/>
</file>

<file path=customXml/itemProps2.xml><?xml version="1.0" encoding="utf-8"?>
<ds:datastoreItem xmlns:ds="http://schemas.openxmlformats.org/officeDocument/2006/customXml" ds:itemID="{DD08E3EC-2425-4F2A-BA90-A2503D5DF3D5}"/>
</file>

<file path=customXml/itemProps3.xml><?xml version="1.0" encoding="utf-8"?>
<ds:datastoreItem xmlns:ds="http://schemas.openxmlformats.org/officeDocument/2006/customXml" ds:itemID="{6184C053-E9F9-448E-8D9B-53E9FE76B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2025-03-25T12:06:10Z</dcterms:created>
  <dcterms:modified xsi:type="dcterms:W3CDTF">2025-03-25T13:00:52Z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0x0101004EC2EA3CB404D94995DAA59333398C04</vt:lpwstr>
  </property>
</Properties>
</file>